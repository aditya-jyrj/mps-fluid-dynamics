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/Desktop/UROPS/mps-fluid-dynamics/diffusion-grouped/"/>
    </mc:Choice>
  </mc:AlternateContent>
  <xr:revisionPtr revIDLastSave="0" documentId="13_ncr:9_{963951E0-BC0A-9643-A4A3-F5C850DEFC0F}" xr6:coauthVersionLast="47" xr6:coauthVersionMax="47" xr10:uidLastSave="{00000000-0000-0000-0000-000000000000}"/>
  <bookViews>
    <workbookView xWindow="7380" yWindow="2220" windowWidth="27640" windowHeight="16680" xr2:uid="{CD7D1691-0EF3-5740-A3BE-6527F59F356B}"/>
  </bookViews>
  <sheets>
    <sheet name="raw data" sheetId="1" r:id="rId1"/>
    <sheet name="avg time per step vs n" sheetId="2" r:id="rId2"/>
    <sheet name="setup time vs n" sheetId="3" r:id="rId3"/>
  </sheets>
  <calcPr calcId="191029"/>
  <pivotCaches>
    <pivotCache cacheId="2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D10" i="3"/>
  <c r="D9" i="3"/>
  <c r="D8" i="3"/>
  <c r="C11" i="3"/>
  <c r="C10" i="3"/>
  <c r="C9" i="3"/>
  <c r="C8" i="3"/>
</calcChain>
</file>

<file path=xl/sharedStrings.xml><?xml version="1.0" encoding="utf-8"?>
<sst xmlns="http://schemas.openxmlformats.org/spreadsheetml/2006/main" count="1225" uniqueCount="23">
  <si>
    <t>n</t>
  </si>
  <si>
    <t>Nx</t>
  </si>
  <si>
    <t>Ny</t>
  </si>
  <si>
    <t>step</t>
  </si>
  <si>
    <t>dense_time</t>
  </si>
  <si>
    <t>tn_time</t>
  </si>
  <si>
    <t>bond_dim</t>
  </si>
  <si>
    <t>abs_err</t>
  </si>
  <si>
    <t>rel_err</t>
  </si>
  <si>
    <t>mps_build</t>
  </si>
  <si>
    <t>mpo_build</t>
  </si>
  <si>
    <t>dense_build</t>
  </si>
  <si>
    <t>missing</t>
  </si>
  <si>
    <t>Row Labels</t>
  </si>
  <si>
    <t>Average of tn_time</t>
  </si>
  <si>
    <t>Avg Dense Timestep / s</t>
  </si>
  <si>
    <t>Avg TN Timestep / s</t>
  </si>
  <si>
    <t>N=2^n</t>
  </si>
  <si>
    <t>Time to build MPS / s</t>
  </si>
  <si>
    <t>Time build dense / s</t>
  </si>
  <si>
    <t>Time to build MPO / s</t>
  </si>
  <si>
    <t>dense setup time / s</t>
  </si>
  <si>
    <t>TN setup time /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</si>
</sst>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8" formatCode="0.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1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NumberFormat="1"/>
    <xf numFmtId="1" fontId="0" fillId="0" borderId="0" xfId="0" pivotButton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3">
    <dxf>
      <numFmt numFmtId="0" formatCode="General"/>
    </dxf>
    <dxf>
      <numFmt numFmtId="166" formatCode="0.0000"/>
    </dxf>
    <dxf>
      <numFmt numFmtId="166" formatCode="0.00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000"/>
    </dxf>
    <dxf>
      <numFmt numFmtId="166" formatCode="0.00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0.0000"/>
    </dxf>
    <dxf>
      <numFmt numFmtId="166" formatCode="0.0000"/>
    </dxf>
    <dxf>
      <numFmt numFmtId="164" formatCode="0.000"/>
    </dxf>
    <dxf>
      <numFmt numFmtId="166" formatCode="0.0000"/>
    </dxf>
    <dxf>
      <numFmt numFmtId="164" formatCode="0.000"/>
    </dxf>
    <dxf>
      <numFmt numFmtId="166" formatCode="0.00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00000"/>
    </dxf>
    <dxf>
      <numFmt numFmtId="168" formatCode="0.000000"/>
    </dxf>
    <dxf>
      <numFmt numFmtId="166" formatCode="0.0000"/>
    </dxf>
    <dxf>
      <numFmt numFmtId="166" formatCode="0.0000"/>
    </dxf>
    <dxf>
      <numFmt numFmtId="166" formatCode="0.0000"/>
    </dxf>
    <dxf>
      <numFmt numFmtId="15" formatCode="0.00E+00"/>
    </dxf>
    <dxf>
      <numFmt numFmtId="15" formatCode="0.00E+00"/>
    </dxf>
    <dxf>
      <numFmt numFmtId="1" formatCode="0"/>
    </dxf>
    <dxf>
      <numFmt numFmtId="168" formatCode="0.000000"/>
    </dxf>
    <dxf>
      <numFmt numFmtId="168" formatCode="0.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[diffusion_benchmark_processed.xlsx]avg time per step vs n!PivotTable3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</a:t>
            </a:r>
            <a:r>
              <a:rPr lang="en-GB" baseline="0"/>
              <a:t> time taken per step: dense vs TN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time per step vs n'!$B$1</c:f>
              <c:strCache>
                <c:ptCount val="1"/>
                <c:pt idx="0">
                  <c:v>Avg TN Timestep / 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time per step vs n'!$A$2:$A$5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strCache>
            </c:strRef>
          </c:cat>
          <c:val>
            <c:numRef>
              <c:f>'avg time per step vs n'!$B$2:$B$5</c:f>
              <c:numCache>
                <c:formatCode>0.000000</c:formatCode>
                <c:ptCount val="4"/>
                <c:pt idx="0">
                  <c:v>1.2331837899999996E-3</c:v>
                </c:pt>
                <c:pt idx="1">
                  <c:v>1.5246316399999996E-3</c:v>
                </c:pt>
                <c:pt idx="2">
                  <c:v>2.2538245699999992E-3</c:v>
                </c:pt>
                <c:pt idx="3">
                  <c:v>4.9746229300000003E-3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4-0848-A5E0-068E71831B9C}"/>
            </c:ext>
          </c:extLst>
        </c:ser>
        <c:ser>
          <c:idx val="1"/>
          <c:order val="1"/>
          <c:tx>
            <c:strRef>
              <c:f>'avg time per step vs n'!$C$1</c:f>
              <c:strCache>
                <c:ptCount val="1"/>
                <c:pt idx="0">
                  <c:v>Avg Dense Timestep / 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'avg time per step vs n'!$A$2:$A$5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strCache>
            </c:strRef>
          </c:cat>
          <c:val>
            <c:numRef>
              <c:f>'avg time per step vs n'!$C$2:$C$5</c:f>
              <c:numCache>
                <c:formatCode>0.000000</c:formatCode>
                <c:ptCount val="4"/>
                <c:pt idx="0">
                  <c:v>1.464926000000001E-5</c:v>
                </c:pt>
                <c:pt idx="1">
                  <c:v>3.2458162999999992E-4</c:v>
                </c:pt>
                <c:pt idx="2">
                  <c:v>2.4694895900000003E-3</c:v>
                </c:pt>
                <c:pt idx="3">
                  <c:v>4.1756419970000014E-2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04-0848-A5E0-068E71831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336639"/>
        <c:axId val="361499263"/>
      </c:lineChart>
      <c:catAx>
        <c:axId val="362336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System size parameter,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499263"/>
        <c:crosses val="autoZero"/>
        <c:auto val="1"/>
        <c:lblAlgn val="ctr"/>
        <c:lblOffset val="100"/>
        <c:noMultiLvlLbl val="0"/>
      </c:catAx>
      <c:valAx>
        <c:axId val="36149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time taken per step / 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33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738826312697949"/>
          <c:y val="0.14616933404998403"/>
          <c:w val="0.25704461800482314"/>
          <c:h val="0.1181061417470005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[diffusion_benchmark_processed.xlsx]avg time per step vs 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</a:t>
            </a:r>
            <a:r>
              <a:rPr lang="en-US" baseline="0"/>
              <a:t> taken per step via TN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time per step vs n'!$F$1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time per step vs n'!$E$2:$E$8</c:f>
              <c:strCache>
                <c:ptCount val="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strCache>
            </c:strRef>
          </c:cat>
          <c:val>
            <c:numRef>
              <c:f>'avg time per step vs n'!$F$2:$F$8</c:f>
              <c:numCache>
                <c:formatCode>0.000000</c:formatCode>
                <c:ptCount val="7"/>
                <c:pt idx="0">
                  <c:v>1.2331837899999996E-3</c:v>
                </c:pt>
                <c:pt idx="1">
                  <c:v>1.5246316399999996E-3</c:v>
                </c:pt>
                <c:pt idx="2">
                  <c:v>2.2538245699999992E-3</c:v>
                </c:pt>
                <c:pt idx="3">
                  <c:v>4.9746229300000003E-3</c:v>
                </c:pt>
                <c:pt idx="4">
                  <c:v>3.1533370699999997E-3</c:v>
                </c:pt>
                <c:pt idx="5">
                  <c:v>3.6801396399999985E-3</c:v>
                </c:pt>
                <c:pt idx="6">
                  <c:v>4.9250058799999996E-3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E-6A4F-92CD-F678A19C6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343807"/>
        <c:axId val="362337983"/>
      </c:lineChart>
      <c:catAx>
        <c:axId val="362343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System size parameter,</a:t>
                </a:r>
                <a:r>
                  <a:rPr lang="en-GB" baseline="0"/>
                  <a:t> 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337983"/>
        <c:crosses val="autoZero"/>
        <c:auto val="1"/>
        <c:lblAlgn val="ctr"/>
        <c:lblOffset val="100"/>
        <c:noMultiLvlLbl val="0"/>
      </c:catAx>
      <c:valAx>
        <c:axId val="3623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</a:t>
                </a:r>
                <a:r>
                  <a:rPr lang="en-GB" baseline="0"/>
                  <a:t> time taken per step / 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34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Dense vs</a:t>
            </a:r>
            <a:r>
              <a:rPr lang="en-GB" baseline="0"/>
              <a:t> TN setup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'setup time vs n'!$C$7</c:f>
              <c:strCache>
                <c:ptCount val="1"/>
                <c:pt idx="0">
                  <c:v>TN setup time / 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'setup time vs n'!$B$8:$B$11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'setup time vs n'!$C$8:$C$11</c:f>
              <c:numCache>
                <c:formatCode>0.0000</c:formatCode>
                <c:ptCount val="4"/>
                <c:pt idx="0" formatCode="General">
                  <c:v>8.262750000000001E-3</c:v>
                </c:pt>
                <c:pt idx="1">
                  <c:v>4.8796262510000004</c:v>
                </c:pt>
                <c:pt idx="2">
                  <c:v>5.2528327079999997</c:v>
                </c:pt>
                <c:pt idx="3">
                  <c:v>5.9550423339999998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CE-6D4C-828F-36883BA74348}"/>
            </c:ext>
          </c:extLst>
        </c:ser>
        <c:ser>
          <c:idx val="2"/>
          <c:order val="1"/>
          <c:tx>
            <c:strRef>
              <c:f>'setup time vs n'!$D$7</c:f>
              <c:strCache>
                <c:ptCount val="1"/>
                <c:pt idx="0">
                  <c:v>dense setup time / 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'setup time vs n'!$B$8:$B$11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'setup time vs n'!$D$8:$D$11</c:f>
              <c:numCache>
                <c:formatCode>0.0000</c:formatCode>
                <c:ptCount val="4"/>
                <c:pt idx="0" formatCode="General">
                  <c:v>10.869475917000001</c:v>
                </c:pt>
                <c:pt idx="1">
                  <c:v>9.0990829160000004</c:v>
                </c:pt>
                <c:pt idx="2">
                  <c:v>11.674028709</c:v>
                </c:pt>
                <c:pt idx="3">
                  <c:v>22.453392874999999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CE-6D4C-828F-36883BA74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345599"/>
        <c:axId val="362340223"/>
      </c:lineChart>
      <c:catAx>
        <c:axId val="36234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System</a:t>
                </a:r>
                <a:r>
                  <a:rPr lang="en-GB" baseline="0"/>
                  <a:t> size parameter,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340223"/>
        <c:crosses val="autoZero"/>
        <c:auto val="1"/>
        <c:lblAlgn val="ctr"/>
        <c:lblOffset val="100"/>
        <c:noMultiLvlLbl val="0"/>
      </c:catAx>
      <c:valAx>
        <c:axId val="36234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taken to setup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34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75490307038109"/>
          <c:y val="0.16592024539877304"/>
          <c:w val="0.44206810134359487"/>
          <c:h val="5.176416598231969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31172</xdr:colOff>
      <xdr:row>9</xdr:row>
      <xdr:rowOff>34635</xdr:rowOff>
    </xdr:from>
    <xdr:to>
      <xdr:col>5</xdr:col>
      <xdr:colOff>591128</xdr:colOff>
      <xdr:row>27</xdr:row>
      <xdr:rowOff>120072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8CC49E-63EC-A551-F02A-EABEED55D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875145</xdr:colOff>
      <xdr:row>8</xdr:row>
      <xdr:rowOff>195117</xdr:rowOff>
    </xdr:from>
    <xdr:to>
      <xdr:col>13</xdr:col>
      <xdr:colOff>234371</xdr:colOff>
      <xdr:row>27</xdr:row>
      <xdr:rowOff>192808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B0B2532-F87C-55BC-4604-FC9FFD19D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876300</xdr:colOff>
      <xdr:row>12</xdr:row>
      <xdr:rowOff>25400</xdr:rowOff>
    </xdr:from>
    <xdr:to>
      <xdr:col>8</xdr:col>
      <xdr:colOff>241300</xdr:colOff>
      <xdr:row>32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FC7745-7259-B758-30CE-DAABF2960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Jayaraj" refreshedDate="46121.883791666667" createdVersion="8" refreshedVersion="8" minRefreshableVersion="3" recordCount="700" xr:uid="{F08AD18E-E2CF-3A48-9087-BC758F97C6F0}">
  <cacheSource type="worksheet">
    <worksheetSource name="Table1"/>
  </cacheSource>
  <cacheFields count="12">
    <cacheField name="n" numFmtId="1">
      <sharedItems containsSemiMixedTypes="0" containsString="0" containsNumber="1" containsInteger="1" minValue="4" maxValue="10" count="7">
        <n v="4"/>
        <n v="5"/>
        <n v="6"/>
        <n v="7"/>
        <n v="8"/>
        <n v="9"/>
        <n v="10"/>
      </sharedItems>
    </cacheField>
    <cacheField name="Nx" numFmtId="1">
      <sharedItems containsSemiMixedTypes="0" containsString="0" containsNumber="1" containsInteger="1" minValue="16" maxValue="1024"/>
    </cacheField>
    <cacheField name="Ny" numFmtId="1">
      <sharedItems containsSemiMixedTypes="0" containsString="0" containsNumber="1" containsInteger="1" minValue="16" maxValue="1024"/>
    </cacheField>
    <cacheField name="step" numFmtId="1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dense_time" numFmtId="168">
      <sharedItems containsMixedTypes="1" containsNumber="1" minValue="1.2500000000000001E-5" maxValue="0.692526792" count="368">
        <n v="2.1208000000000001E-5"/>
        <n v="1.7791E-5"/>
        <n v="1.3709E-5"/>
        <n v="1.3791000000000001E-5"/>
        <n v="1.3708E-5"/>
        <n v="1.3375E-5"/>
        <n v="1.4083999999999999E-5"/>
        <n v="1.3833E-5"/>
        <n v="1.2500000000000001E-5"/>
        <n v="1.3542E-5"/>
        <n v="1.5333E-5"/>
        <n v="1.2875E-5"/>
        <n v="1.4250000000000001E-5"/>
        <n v="1.3458999999999999E-5"/>
        <n v="1.6084000000000001E-5"/>
        <n v="1.3667E-5"/>
        <n v="1.3292000000000001E-5"/>
        <n v="1.4167E-5"/>
        <n v="1.5125E-5"/>
        <n v="1.5E-5"/>
        <n v="1.3042E-5"/>
        <n v="1.4E-5"/>
        <n v="1.3083E-5"/>
        <n v="1.7584E-5"/>
        <n v="1.4041E-5"/>
        <n v="1.3208E-5"/>
        <n v="1.3084E-5"/>
        <n v="1.4457999999999999E-5"/>
        <n v="1.7917000000000001E-5"/>
        <n v="1.3040999999999999E-5"/>
        <n v="1.3291E-5"/>
        <n v="1.6291999999999999E-5"/>
        <n v="1.3458000000000001E-5"/>
        <n v="2.2291999999999999E-5"/>
        <n v="1.5458E-5"/>
        <n v="1.4584E-5"/>
        <n v="1.7125E-5"/>
        <n v="1.5667000000000001E-5"/>
        <n v="1.3334E-5"/>
        <n v="1.9667E-5"/>
        <n v="1.4708999999999999E-5"/>
        <n v="2.5999999999999998E-5"/>
        <n v="1.3584000000000001E-5"/>
        <n v="1.3125000000000001E-5"/>
        <n v="1.5583999999999999E-5"/>
        <n v="1.3625000000000001E-5"/>
        <n v="1.4416999999999999E-5"/>
        <n v="1.2666999999999999E-5"/>
        <n v="1.4042E-5"/>
        <n v="1.2999999999999999E-5"/>
        <n v="1.3875E-5"/>
        <n v="1.925E-5"/>
        <n v="1.7458000000000001E-5"/>
        <n v="1.275E-5"/>
        <n v="1.6249999999999999E-5"/>
        <n v="1.5166E-5"/>
        <n v="1.3959E-5"/>
        <n v="1.4459E-5"/>
        <n v="1.8749999999999998E-5"/>
        <n v="1.2917E-5"/>
        <n v="1.7E-5"/>
        <n v="1.3541E-5"/>
        <n v="1.4209000000000001E-5"/>
        <n v="1.5375000000000001E-5"/>
        <n v="2.5125000000000001E-5"/>
        <n v="1.375E-5"/>
        <n v="1.6291E-5"/>
        <n v="1.5083300000000001E-4"/>
        <n v="5.1816700000000004E-4"/>
        <n v="2.6179099999999999E-4"/>
        <n v="4.0295800000000003E-4"/>
        <n v="7.9279199999999995E-4"/>
        <n v="2.8091599999999998E-4"/>
        <n v="2.3183399999999999E-4"/>
        <n v="3.3175000000000001E-4"/>
        <n v="3.6162500000000002E-4"/>
        <n v="3.7375E-4"/>
        <n v="2.7020899999999999E-4"/>
        <n v="3.0395800000000001E-4"/>
        <n v="3.1325E-4"/>
        <n v="2.9E-4"/>
        <n v="3.45917E-4"/>
        <n v="2.6933300000000002E-4"/>
        <n v="2.2975E-4"/>
        <n v="2.7787500000000002E-4"/>
        <n v="3.6041699999999997E-4"/>
        <n v="2.9591699999999998E-4"/>
        <n v="2.2800000000000001E-4"/>
        <n v="2.12208E-4"/>
        <n v="2.7599999999999999E-4"/>
        <n v="2.8779100000000002E-4"/>
        <n v="3.9175000000000001E-4"/>
        <n v="3.3366599999999999E-4"/>
        <n v="2.6162499999999998E-4"/>
        <n v="2.2658300000000001E-4"/>
        <n v="3.3279199999999999E-4"/>
        <n v="2.4995900000000001E-4"/>
        <n v="3.0079199999999998E-4"/>
        <n v="3.0620799999999998E-4"/>
        <n v="3.0879099999999999E-4"/>
        <n v="2.4425E-4"/>
        <n v="5.0833300000000003E-4"/>
        <n v="3.4424999999999999E-4"/>
        <n v="2.7216700000000003E-4"/>
        <n v="3.8424999999999999E-4"/>
        <n v="3.5974999999999999E-4"/>
        <n v="3.6499999999999998E-4"/>
        <n v="2.7904200000000002E-4"/>
        <n v="5.4370799999999995E-4"/>
        <n v="3.6887500000000001E-4"/>
        <n v="2.8079100000000002E-4"/>
        <n v="2.7441599999999998E-4"/>
        <n v="2.40292E-4"/>
        <n v="2.5145799999999998E-4"/>
        <n v="2.5945800000000001E-4"/>
        <n v="3.2208300000000003E-4"/>
        <n v="2.9516699999999999E-4"/>
        <n v="2.3108300000000001E-4"/>
        <n v="3.0787499999999999E-4"/>
        <n v="3.3104199999999998E-4"/>
        <n v="2.9933299999999999E-4"/>
        <n v="3.3149999999999998E-4"/>
        <n v="4.4283400000000002E-4"/>
        <n v="3.22625E-4"/>
        <n v="2.96125E-4"/>
        <n v="1.9758300000000001E-4"/>
        <n v="2.7399999999999999E-4"/>
        <n v="3.0058299999999999E-4"/>
        <n v="2.3966600000000001E-4"/>
        <n v="2.3704100000000001E-4"/>
        <n v="3.2904199999999998E-4"/>
        <n v="2.8329199999999998E-4"/>
        <n v="2.7358299999999999E-4"/>
        <n v="2.19292E-4"/>
        <n v="3.5312499999999998E-4"/>
        <n v="4.4895900000000002E-4"/>
        <n v="3.23958E-4"/>
        <n v="3.88417E-4"/>
        <n v="2.8487500000000003E-4"/>
        <n v="2.7195799999999999E-4"/>
        <n v="3.1716699999999998E-4"/>
        <n v="3.3575E-4"/>
        <n v="6.0962500000000003E-4"/>
        <n v="2.9391600000000002E-4"/>
        <n v="2.7841600000000003E-4"/>
        <n v="3.4191700000000001E-4"/>
        <n v="4.1141700000000002E-4"/>
        <n v="3.77375E-4"/>
        <n v="3.90083E-4"/>
        <n v="2.9916699999999998E-4"/>
        <n v="2.7708300000000002E-4"/>
        <n v="3.3E-4"/>
        <n v="3.1125E-4"/>
        <n v="3.8129199999999998E-4"/>
        <n v="3.0808300000000001E-4"/>
        <n v="2.72792E-4"/>
        <n v="3.6658300000000002E-4"/>
        <n v="3.2574999999999998E-4"/>
        <n v="5.0129199999999997E-4"/>
        <n v="2.9837499999999997E-4"/>
        <n v="4.9383300000000005E-4"/>
        <n v="3.2462499999999999E-4"/>
        <n v="3.2241600000000001E-4"/>
        <n v="2.9183399999999998E-4"/>
        <n v="2.8795900000000001E-4"/>
        <n v="3.1087500000000001E-4"/>
        <n v="4.3899999999999999E-4"/>
        <n v="2.1845839999999998E-3"/>
        <n v="2.7135000000000002E-3"/>
        <n v="2.5337910000000001E-3"/>
        <n v="2.3998330000000001E-3"/>
        <n v="2.5087500000000001E-3"/>
        <n v="2.4034170000000001E-3"/>
        <n v="2.1847500000000001E-3"/>
        <n v="2.4407500000000002E-3"/>
        <n v="2.6884159999999999E-3"/>
        <n v="2.3975419999999999E-3"/>
        <n v="2.4264159999999998E-3"/>
        <n v="2.226334E-3"/>
        <n v="2.293958E-3"/>
        <n v="2.5145829999999999E-3"/>
        <n v="2.3378330000000001E-3"/>
        <n v="2.2359160000000001E-3"/>
        <n v="2.5427079999999999E-3"/>
        <n v="2.328292E-3"/>
        <n v="2.4931670000000001E-3"/>
        <n v="2.374625E-3"/>
        <n v="2.2058749999999999E-3"/>
        <n v="2.4081670000000001E-3"/>
        <n v="2.343917E-3"/>
        <n v="2.1939160000000002E-3"/>
        <n v="2.63525E-3"/>
        <n v="2.1637079999999999E-3"/>
        <n v="2.4811669999999998E-3"/>
        <n v="2.2754590000000001E-3"/>
        <n v="2.2187919999999998E-3"/>
        <n v="2.228875E-3"/>
        <n v="2.4978330000000001E-3"/>
        <n v="2.3981250000000001E-3"/>
        <n v="6.0160839999999997E-3"/>
        <n v="2.348625E-3"/>
        <n v="2.4928749999999999E-3"/>
        <n v="2.188167E-3"/>
        <n v="2.1965000000000001E-3"/>
        <n v="2.2065420000000001E-3"/>
        <n v="2.3574999999999998E-3"/>
        <n v="2.339916E-3"/>
        <n v="2.3713749999999998E-3"/>
        <n v="2.5652919999999998E-3"/>
        <n v="2.2846670000000002E-3"/>
        <n v="2.3432499999999998E-3"/>
        <n v="2.1841249999999999E-3"/>
        <n v="2.1875839999999998E-3"/>
        <n v="2.2097499999999999E-3"/>
        <n v="2.2487079999999999E-3"/>
        <n v="2.572459E-3"/>
        <n v="2.1730410000000001E-3"/>
        <n v="2.7511250000000001E-3"/>
        <n v="2.5783749999999999E-3"/>
        <n v="2.4246659999999998E-3"/>
        <n v="2.420625E-3"/>
        <n v="2.3698339999999999E-3"/>
        <n v="2.4166249999999999E-3"/>
        <n v="2.3409170000000001E-3"/>
        <n v="2.3500830000000002E-3"/>
        <n v="2.515541E-3"/>
        <n v="2.4087499999999999E-3"/>
        <n v="2.3862919999999999E-3"/>
        <n v="2.3176659999999999E-3"/>
        <n v="9.1301660000000003E-3"/>
        <n v="2.2665839999999999E-3"/>
        <n v="2.548458E-3"/>
        <n v="2.1657500000000001E-3"/>
        <n v="2.4794999999999999E-3"/>
        <n v="2.5460830000000002E-3"/>
        <n v="2.3037499999999998E-3"/>
        <n v="2.4335419999999999E-3"/>
        <n v="2.4214169999999999E-3"/>
        <n v="2.3648749999999998E-3"/>
        <n v="2.350375E-3"/>
        <n v="2.3227090000000001E-3"/>
        <n v="2.193417E-3"/>
        <n v="2.353333E-3"/>
        <n v="2.1577499999999999E-3"/>
        <n v="2.2055830000000001E-3"/>
        <n v="2.2920409999999999E-3"/>
        <n v="2.4162089999999999E-3"/>
        <n v="2.2575410000000001E-3"/>
        <n v="2.3845419999999999E-3"/>
        <n v="2.6449580000000002E-3"/>
        <n v="2.200834E-3"/>
        <n v="2.3422500000000001E-3"/>
        <n v="2.198584E-3"/>
        <n v="2.4121659999999999E-3"/>
        <n v="2.3617920000000001E-3"/>
        <n v="2.6070830000000001E-3"/>
        <n v="2.2528750000000001E-3"/>
        <n v="2.126125E-3"/>
        <n v="2.2901670000000001E-3"/>
        <n v="2.3708750000000002E-3"/>
        <n v="2.3765000000000001E-3"/>
        <n v="2.5149590000000002E-3"/>
        <n v="2.4263750000000001E-3"/>
        <n v="2.3940419999999999E-3"/>
        <n v="2.4408749999999999E-3"/>
        <n v="2.2661249999999999E-3"/>
        <n v="2.2815410000000002E-3"/>
        <n v="3.2760333000000003E-2"/>
        <n v="0.692526792"/>
        <n v="4.0979000000000002E-2"/>
        <n v="3.5388375E-2"/>
        <n v="3.1996458999999998E-2"/>
        <n v="3.7228749999999998E-2"/>
        <n v="3.0660666999999999E-2"/>
        <n v="3.5973625000000002E-2"/>
        <n v="0.39201716599999997"/>
        <n v="4.1166957999999997E-2"/>
        <n v="3.0023542E-2"/>
        <n v="3.2310083000000003E-2"/>
        <n v="2.96925E-2"/>
        <n v="3.2046333000000003E-2"/>
        <n v="3.1117334E-2"/>
        <n v="3.2837999999999999E-2"/>
        <n v="3.0197624999999999E-2"/>
        <n v="3.1942375000000002E-2"/>
        <n v="2.8794E-2"/>
        <n v="3.1324084000000002E-2"/>
        <n v="2.8317624999999999E-2"/>
        <n v="3.4632083000000001E-2"/>
        <n v="2.9409917000000001E-2"/>
        <n v="3.0846834E-2"/>
        <n v="3.0731749999999999E-2"/>
        <n v="2.8890958000000001E-2"/>
        <n v="3.0992334E-2"/>
        <n v="3.0089542E-2"/>
        <n v="3.1612332999999999E-2"/>
        <n v="2.9229999999999999E-2"/>
        <n v="3.2430791E-2"/>
        <n v="2.9964542E-2"/>
        <n v="3.2026541999999998E-2"/>
        <n v="3.1054249999999999E-2"/>
        <n v="3.1528541E-2"/>
        <n v="3.0602875000000002E-2"/>
        <n v="3.2296917000000001E-2"/>
        <n v="3.0219958000000002E-2"/>
        <n v="3.1843207999999998E-2"/>
        <n v="2.8797791999999999E-2"/>
        <n v="3.2651624999999997E-2"/>
        <n v="3.0985875E-2"/>
        <n v="3.2861750000000002E-2"/>
        <n v="3.1329750000000003E-2"/>
        <n v="3.3589124999999997E-2"/>
        <n v="3.1695833999999999E-2"/>
        <n v="3.3796874999999997E-2"/>
        <n v="2.9409624999999998E-2"/>
        <n v="3.2347374999999998E-2"/>
        <n v="2.9316208E-2"/>
        <n v="3.2173709000000002E-2"/>
        <n v="3.0271666999999999E-2"/>
        <n v="3.2641375E-2"/>
        <n v="2.9103041E-2"/>
        <n v="3.2832667000000003E-2"/>
        <n v="3.3216707999999998E-2"/>
        <n v="3.0885916999999999E-2"/>
        <n v="3.2476790999999998E-2"/>
        <n v="2.9132166000000001E-2"/>
        <n v="3.3495625000000001E-2"/>
        <n v="3.1412000000000002E-2"/>
        <n v="3.2028500000000001E-2"/>
        <n v="3.0139666999999998E-2"/>
        <n v="3.2818624999999997E-2"/>
        <n v="3.0450499999999998E-2"/>
        <n v="3.1802583000000002E-2"/>
        <n v="3.2478917000000003E-2"/>
        <n v="3.2771833E-2"/>
        <n v="3.0159749999999999E-2"/>
        <n v="3.2661999999999997E-2"/>
        <n v="3.0651999999999999E-2"/>
        <n v="3.1839040999999998E-2"/>
        <n v="3.0438875000000001E-2"/>
        <n v="3.1499708000000001E-2"/>
        <n v="3.0082042E-2"/>
        <n v="3.1531125E-2"/>
        <n v="2.9713582999999998E-2"/>
        <n v="3.2886540999999998E-2"/>
        <n v="2.9877250000000001E-2"/>
        <n v="3.2434833000000003E-2"/>
        <n v="2.9641041999999999E-2"/>
        <n v="3.2833082999999999E-2"/>
        <n v="3.1308875E-2"/>
        <n v="3.0612916E-2"/>
        <n v="3.0463667E-2"/>
        <n v="2.9325125E-2"/>
        <n v="3.1670708999999998E-2"/>
        <n v="2.9401165999999999E-2"/>
        <n v="3.4624459000000003E-2"/>
        <n v="2.8774292E-2"/>
        <n v="3.1776582999999997E-2"/>
        <n v="3.0606292E-2"/>
        <n v="3.2501457999999997E-2"/>
        <n v="2.9666666000000001E-2"/>
        <n v="3.1418791000000001E-2"/>
        <n v="2.9647040999999999E-2"/>
        <n v="3.1351207999999998E-2"/>
        <n v="2.9484584000000001E-2"/>
        <n v="3.2785624999999999E-2"/>
        <n v="2.9352540999999999E-2"/>
        <s v="missing"/>
      </sharedItems>
    </cacheField>
    <cacheField name="tn_time" numFmtId="168">
      <sharedItems containsSemiMixedTypes="0" containsString="0" containsNumber="1" minValue="7.8204100000000003E-4" maxValue="0.13178379100000001"/>
    </cacheField>
    <cacheField name="bond_dim" numFmtId="1">
      <sharedItems containsSemiMixedTypes="0" containsString="0" containsNumber="1" containsInteger="1" minValue="4" maxValue="17"/>
    </cacheField>
    <cacheField name="abs_err" numFmtId="11">
      <sharedItems containsMixedTypes="1" containsNumber="1" minValue="1.8189674139046198E-15" maxValue="2.5288410036024001E-6"/>
    </cacheField>
    <cacheField name="rel_err" numFmtId="11">
      <sharedItems containsMixedTypes="1" containsNumber="1" minValue="1.9345371029461902E-15" maxValue="3.7952434983638801E-5"/>
    </cacheField>
    <cacheField name="mps_build" numFmtId="166">
      <sharedItems containsSemiMixedTypes="0" containsString="0" containsNumber="1" minValue="2.4502920000000002E-3" maxValue="30.249577333000001"/>
    </cacheField>
    <cacheField name="mpo_build" numFmtId="166">
      <sharedItems containsSemiMixedTypes="0" containsString="0" containsNumber="1" minValue="5.8124580000000004E-3" maxValue="2.5712875E-2"/>
    </cacheField>
    <cacheField name="dense_build" numFmtId="166">
      <sharedItems containsMixedTypes="1" containsNumber="1" minValue="9.0990829160000004" maxValue="22.453392874999999" count="5">
        <n v="10.869475917000001"/>
        <n v="9.0990829160000004"/>
        <n v="11.674028709"/>
        <n v="22.453392874999999"/>
        <s v="miss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n v="16"/>
    <n v="16"/>
    <x v="0"/>
    <x v="0"/>
    <n v="1.029416E-3"/>
    <n v="4"/>
    <n v="4.0840671989499802E-15"/>
    <n v="1.9345371029461902E-15"/>
    <n v="2.4502920000000002E-3"/>
    <n v="5.8124580000000004E-3"/>
    <x v="0"/>
  </r>
  <r>
    <x v="0"/>
    <n v="16"/>
    <n v="16"/>
    <x v="1"/>
    <x v="1"/>
    <n v="1.2297499999999999E-3"/>
    <n v="6"/>
    <n v="2.4600142513776599E-15"/>
    <n v="3.16271605225543E-15"/>
    <n v="2.4502920000000002E-3"/>
    <n v="5.8124580000000004E-3"/>
    <x v="0"/>
  </r>
  <r>
    <x v="0"/>
    <n v="16"/>
    <n v="16"/>
    <x v="2"/>
    <x v="2"/>
    <n v="1.0155419999999999E-3"/>
    <n v="8"/>
    <n v="1.8189674139046198E-15"/>
    <n v="4.5872107214650304E-15"/>
    <n v="2.4502920000000002E-3"/>
    <n v="5.8124580000000004E-3"/>
    <x v="0"/>
  </r>
  <r>
    <x v="0"/>
    <n v="16"/>
    <n v="16"/>
    <x v="3"/>
    <x v="3"/>
    <n v="1.000459E-3"/>
    <n v="8"/>
    <n v="1.5657210657360499E-7"/>
    <n v="6.4391352402582797E-7"/>
    <n v="2.4502920000000002E-3"/>
    <n v="5.8124580000000004E-3"/>
    <x v="0"/>
  </r>
  <r>
    <x v="0"/>
    <n v="16"/>
    <n v="16"/>
    <x v="4"/>
    <x v="4"/>
    <n v="9.2079100000000001E-4"/>
    <n v="8"/>
    <n v="1.7391675705115899E-7"/>
    <n v="1.0307027673712301E-6"/>
    <n v="2.4502920000000002E-3"/>
    <n v="5.8124580000000004E-3"/>
    <x v="0"/>
  </r>
  <r>
    <x v="0"/>
    <n v="16"/>
    <n v="16"/>
    <x v="5"/>
    <x v="5"/>
    <n v="1.417459E-3"/>
    <n v="8"/>
    <n v="1.1667435050750499E-7"/>
    <n v="9.0388964310598897E-7"/>
    <n v="2.4502920000000002E-3"/>
    <n v="5.8124580000000004E-3"/>
    <x v="0"/>
  </r>
  <r>
    <x v="0"/>
    <n v="16"/>
    <n v="16"/>
    <x v="6"/>
    <x v="6"/>
    <n v="9.8091600000000008E-4"/>
    <n v="8"/>
    <n v="8.9690055926002602E-8"/>
    <n v="8.4795583694117098E-7"/>
    <n v="2.4502920000000002E-3"/>
    <n v="5.8124580000000004E-3"/>
    <x v="0"/>
  </r>
  <r>
    <x v="0"/>
    <n v="16"/>
    <n v="16"/>
    <x v="7"/>
    <x v="7"/>
    <n v="1.0034169999999999E-3"/>
    <n v="8"/>
    <n v="7.6849041497036596E-8"/>
    <n v="8.5005571270983202E-7"/>
    <n v="2.4502920000000002E-3"/>
    <n v="5.8124580000000004E-3"/>
    <x v="0"/>
  </r>
  <r>
    <x v="0"/>
    <n v="16"/>
    <n v="16"/>
    <x v="8"/>
    <x v="8"/>
    <n v="9.0408399999999999E-4"/>
    <n v="8"/>
    <n v="6.9851785129577006E-8"/>
    <n v="8.82432411199213E-7"/>
    <n v="2.4502920000000002E-3"/>
    <n v="5.8124580000000004E-3"/>
    <x v="0"/>
  </r>
  <r>
    <x v="0"/>
    <n v="16"/>
    <n v="16"/>
    <x v="9"/>
    <x v="9"/>
    <n v="9.68E-4"/>
    <n v="8"/>
    <n v="6.3729088183145506E-8"/>
    <n v="9.06775864543145E-7"/>
    <n v="2.4502920000000002E-3"/>
    <n v="5.8124580000000004E-3"/>
    <x v="0"/>
  </r>
  <r>
    <x v="0"/>
    <n v="16"/>
    <n v="16"/>
    <x v="10"/>
    <x v="10"/>
    <n v="9.0600000000000001E-4"/>
    <n v="8"/>
    <n v="5.6810957743160497E-8"/>
    <n v="9.0278396066199501E-7"/>
    <n v="2.4502920000000002E-3"/>
    <n v="5.8124580000000004E-3"/>
    <x v="0"/>
  </r>
  <r>
    <x v="0"/>
    <n v="16"/>
    <n v="16"/>
    <x v="11"/>
    <x v="11"/>
    <n v="9.8295900000000005E-4"/>
    <n v="8"/>
    <n v="4.96471436340182E-8"/>
    <n v="8.7624687023984601E-7"/>
    <n v="2.4502920000000002E-3"/>
    <n v="5.8124580000000004E-3"/>
    <x v="0"/>
  </r>
  <r>
    <x v="0"/>
    <n v="16"/>
    <n v="16"/>
    <x v="12"/>
    <x v="12"/>
    <n v="1.0297500000000001E-3"/>
    <n v="8"/>
    <n v="4.3236357866788497E-8"/>
    <n v="8.4419921354076903E-7"/>
    <n v="2.4502920000000002E-3"/>
    <n v="5.8124580000000004E-3"/>
    <x v="0"/>
  </r>
  <r>
    <x v="0"/>
    <n v="16"/>
    <n v="16"/>
    <x v="13"/>
    <x v="13"/>
    <n v="1.002792E-3"/>
    <n v="8"/>
    <n v="3.8070448110489102E-8"/>
    <n v="8.1983619912552805E-7"/>
    <n v="2.4502920000000002E-3"/>
    <n v="5.8124580000000004E-3"/>
    <x v="0"/>
  </r>
  <r>
    <x v="0"/>
    <n v="16"/>
    <n v="16"/>
    <x v="14"/>
    <x v="14"/>
    <n v="9.9529200000000005E-4"/>
    <n v="8"/>
    <n v="3.4112420820888603E-8"/>
    <n v="8.0818410486683995E-7"/>
    <n v="2.4502920000000002E-3"/>
    <n v="5.8124580000000004E-3"/>
    <x v="0"/>
  </r>
  <r>
    <x v="0"/>
    <n v="16"/>
    <n v="16"/>
    <x v="15"/>
    <x v="15"/>
    <n v="8.56083E-4"/>
    <n v="8"/>
    <n v="3.10993338606344E-8"/>
    <n v="8.0884755228074103E-7"/>
    <n v="2.4502920000000002E-3"/>
    <n v="5.8124580000000004E-3"/>
    <x v="0"/>
  </r>
  <r>
    <x v="0"/>
    <n v="16"/>
    <n v="16"/>
    <x v="16"/>
    <x v="16"/>
    <n v="9.1416700000000002E-4"/>
    <n v="8"/>
    <n v="2.8761008022866099E-8"/>
    <n v="8.1956836739328902E-7"/>
    <n v="2.4502920000000002E-3"/>
    <n v="5.8124580000000004E-3"/>
    <x v="0"/>
  </r>
  <r>
    <x v="0"/>
    <n v="16"/>
    <n v="16"/>
    <x v="17"/>
    <x v="17"/>
    <n v="9.8512500000000011E-4"/>
    <n v="8"/>
    <n v="2.6892949174744699E-8"/>
    <n v="8.3808241292949204E-7"/>
    <n v="2.4502920000000002E-3"/>
    <n v="5.8124580000000004E-3"/>
    <x v="0"/>
  </r>
  <r>
    <x v="0"/>
    <n v="16"/>
    <n v="16"/>
    <x v="18"/>
    <x v="18"/>
    <n v="8.9383400000000003E-4"/>
    <n v="8"/>
    <n v="2.5354058901141199E-8"/>
    <n v="8.6257468300092895E-7"/>
    <n v="2.4502920000000002E-3"/>
    <n v="5.8124580000000004E-3"/>
    <x v="0"/>
  </r>
  <r>
    <x v="0"/>
    <n v="16"/>
    <n v="16"/>
    <x v="19"/>
    <x v="19"/>
    <n v="9.859999999999999E-4"/>
    <n v="8"/>
    <n v="3.8624131345308599E-8"/>
    <n v="1.4320567916650899E-6"/>
    <n v="2.4502920000000002E-3"/>
    <n v="5.8124580000000004E-3"/>
    <x v="0"/>
  </r>
  <r>
    <x v="0"/>
    <n v="16"/>
    <n v="16"/>
    <x v="20"/>
    <x v="20"/>
    <n v="9.9766700000000004E-4"/>
    <n v="8"/>
    <n v="2.8510203559548099E-8"/>
    <n v="1.15004260261945E-6"/>
    <n v="2.4502920000000002E-3"/>
    <n v="5.8124580000000004E-3"/>
    <x v="0"/>
  </r>
  <r>
    <x v="0"/>
    <n v="16"/>
    <n v="16"/>
    <x v="21"/>
    <x v="21"/>
    <n v="9.4304199999999995E-4"/>
    <n v="8"/>
    <n v="2.41648225259032E-8"/>
    <n v="1.05869677941562E-6"/>
    <n v="2.4502920000000002E-3"/>
    <n v="5.8124580000000004E-3"/>
    <x v="0"/>
  </r>
  <r>
    <x v="0"/>
    <n v="16"/>
    <n v="16"/>
    <x v="22"/>
    <x v="22"/>
    <n v="9.5695800000000005E-4"/>
    <n v="7"/>
    <n v="2.7924511627669201E-8"/>
    <n v="1.32650560874346E-6"/>
    <n v="2.4502920000000002E-3"/>
    <n v="5.8124580000000004E-3"/>
    <x v="0"/>
  </r>
  <r>
    <x v="0"/>
    <n v="16"/>
    <n v="16"/>
    <x v="23"/>
    <x v="23"/>
    <n v="8.9295800000000001E-4"/>
    <n v="7"/>
    <n v="2.4349700013906901E-8"/>
    <n v="1.25201828483363E-6"/>
    <n v="2.4502920000000002E-3"/>
    <n v="5.8124580000000004E-3"/>
    <x v="0"/>
  </r>
  <r>
    <x v="0"/>
    <n v="16"/>
    <n v="16"/>
    <x v="24"/>
    <x v="24"/>
    <n v="9.79417E-4"/>
    <n v="7"/>
    <n v="2.65453197423923E-8"/>
    <n v="1.4748662575167999E-6"/>
    <n v="2.4502920000000002E-3"/>
    <n v="5.8124580000000004E-3"/>
    <x v="0"/>
  </r>
  <r>
    <x v="0"/>
    <n v="16"/>
    <n v="16"/>
    <x v="25"/>
    <x v="25"/>
    <n v="8.8558300000000001E-4"/>
    <n v="7"/>
    <n v="2.3109963155306702E-8"/>
    <n v="1.3850379196748799E-6"/>
    <n v="2.4502920000000002E-3"/>
    <n v="5.8124580000000004E-3"/>
    <x v="0"/>
  </r>
  <r>
    <x v="0"/>
    <n v="16"/>
    <n v="16"/>
    <x v="26"/>
    <x v="26"/>
    <n v="9.6579200000000004E-4"/>
    <n v="7"/>
    <n v="2.1119635238059701E-8"/>
    <n v="1.3629920252269799E-6"/>
    <n v="2.4502920000000002E-3"/>
    <n v="5.8124580000000004E-3"/>
    <x v="0"/>
  </r>
  <r>
    <x v="0"/>
    <n v="16"/>
    <n v="16"/>
    <x v="27"/>
    <x v="27"/>
    <n v="1.3418583E-2"/>
    <n v="7"/>
    <n v="1.98221054042489E-8"/>
    <n v="1.3751359759462101E-6"/>
    <n v="2.4502920000000002E-3"/>
    <n v="5.8124580000000004E-3"/>
    <x v="0"/>
  </r>
  <r>
    <x v="0"/>
    <n v="16"/>
    <n v="16"/>
    <x v="28"/>
    <x v="28"/>
    <n v="1.015333E-3"/>
    <n v="7"/>
    <n v="1.8867867832926899E-8"/>
    <n v="1.4045953192510499E-6"/>
    <n v="2.4502920000000002E-3"/>
    <n v="5.8124580000000004E-3"/>
    <x v="0"/>
  </r>
  <r>
    <x v="0"/>
    <n v="16"/>
    <n v="16"/>
    <x v="29"/>
    <x v="21"/>
    <n v="9.7362499999999999E-4"/>
    <n v="7"/>
    <n v="1.80940704717297E-8"/>
    <n v="1.4429174217937501E-6"/>
    <n v="2.4502920000000002E-3"/>
    <n v="5.8124580000000004E-3"/>
    <x v="0"/>
  </r>
  <r>
    <x v="0"/>
    <n v="16"/>
    <n v="16"/>
    <x v="30"/>
    <x v="16"/>
    <n v="9.4412499999999998E-4"/>
    <n v="7"/>
    <n v="1.74241973441689E-8"/>
    <n v="1.4858725153049299E-6"/>
    <n v="2.4502920000000002E-3"/>
    <n v="5.8124580000000004E-3"/>
    <x v="0"/>
  </r>
  <r>
    <x v="0"/>
    <n v="16"/>
    <n v="16"/>
    <x v="31"/>
    <x v="15"/>
    <n v="9.0879100000000005E-4"/>
    <n v="6"/>
    <n v="1.98068013931206E-8"/>
    <n v="1.8030915649066099E-6"/>
    <n v="2.4502920000000002E-3"/>
    <n v="5.8124580000000004E-3"/>
    <x v="0"/>
  </r>
  <r>
    <x v="0"/>
    <n v="16"/>
    <n v="16"/>
    <x v="32"/>
    <x v="20"/>
    <n v="8.5962500000000004E-4"/>
    <n v="6"/>
    <n v="1.8925353934060801E-8"/>
    <n v="1.83602859391197E-6"/>
    <n v="2.4502920000000002E-3"/>
    <n v="5.8124580000000004E-3"/>
    <x v="0"/>
  </r>
  <r>
    <x v="0"/>
    <n v="16"/>
    <n v="16"/>
    <x v="33"/>
    <x v="29"/>
    <n v="9.4616700000000004E-4"/>
    <n v="6"/>
    <n v="1.82504059242609E-8"/>
    <n v="1.88367250562726E-6"/>
    <n v="2.4502920000000002E-3"/>
    <n v="5.8124580000000004E-3"/>
    <x v="0"/>
  </r>
  <r>
    <x v="0"/>
    <n v="16"/>
    <n v="16"/>
    <x v="34"/>
    <x v="22"/>
    <n v="1.256458E-3"/>
    <n v="6"/>
    <n v="1.76964484498319E-8"/>
    <n v="1.93995575552883E-6"/>
    <n v="2.4502920000000002E-3"/>
    <n v="5.8124580000000004E-3"/>
    <x v="0"/>
  </r>
  <r>
    <x v="0"/>
    <n v="16"/>
    <n v="16"/>
    <x v="35"/>
    <x v="4"/>
    <n v="9.8270800000000011E-4"/>
    <n v="6"/>
    <n v="1.7219174907220501E-8"/>
    <n v="2.0016032723466699E-6"/>
    <n v="2.4502920000000002E-3"/>
    <n v="5.8124580000000004E-3"/>
    <x v="0"/>
  </r>
  <r>
    <x v="0"/>
    <n v="16"/>
    <n v="16"/>
    <x v="36"/>
    <x v="5"/>
    <n v="9.8041600000000001E-4"/>
    <n v="6"/>
    <n v="1.6792149351046899E-8"/>
    <n v="2.06648567115474E-6"/>
    <n v="2.4502920000000002E-3"/>
    <n v="5.8124580000000004E-3"/>
    <x v="0"/>
  </r>
  <r>
    <x v="0"/>
    <n v="16"/>
    <n v="16"/>
    <x v="37"/>
    <x v="30"/>
    <n v="8.7470799999999997E-4"/>
    <n v="6"/>
    <n v="1.63982447018669E-8"/>
    <n v="2.1330415556310101E-6"/>
    <n v="2.4502920000000002E-3"/>
    <n v="5.8124580000000004E-3"/>
    <x v="0"/>
  </r>
  <r>
    <x v="0"/>
    <n v="16"/>
    <n v="16"/>
    <x v="38"/>
    <x v="31"/>
    <n v="1.0133340000000001E-3"/>
    <n v="6"/>
    <n v="1.690274879312E-8"/>
    <n v="2.3204212520261901E-6"/>
    <n v="2.4502920000000002E-3"/>
    <n v="5.8124580000000004E-3"/>
    <x v="0"/>
  </r>
  <r>
    <x v="0"/>
    <n v="16"/>
    <n v="16"/>
    <x v="39"/>
    <x v="32"/>
    <n v="1.2397910000000001E-3"/>
    <n v="6"/>
    <n v="1.7592766137037999E-8"/>
    <n v="2.5450739991204398E-6"/>
    <n v="2.4502920000000002E-3"/>
    <n v="5.8124580000000004E-3"/>
    <x v="0"/>
  </r>
  <r>
    <x v="0"/>
    <n v="16"/>
    <n v="16"/>
    <x v="40"/>
    <x v="33"/>
    <n v="9.9733299999999999E-4"/>
    <n v="6"/>
    <n v="1.6613377495361301E-8"/>
    <n v="2.52900025625448E-6"/>
    <n v="2.4502920000000002E-3"/>
    <n v="5.8124580000000004E-3"/>
    <x v="0"/>
  </r>
  <r>
    <x v="0"/>
    <n v="16"/>
    <n v="16"/>
    <x v="41"/>
    <x v="34"/>
    <n v="8.2633399999999997E-4"/>
    <n v="6"/>
    <n v="1.6617021304331598E-8"/>
    <n v="2.65800737912997E-6"/>
    <n v="2.4502920000000002E-3"/>
    <n v="5.8124580000000004E-3"/>
    <x v="0"/>
  </r>
  <r>
    <x v="0"/>
    <n v="16"/>
    <n v="16"/>
    <x v="42"/>
    <x v="6"/>
    <n v="1.0749170000000001E-3"/>
    <n v="6"/>
    <n v="1.5714433214676001E-8"/>
    <n v="2.6376763033573601E-6"/>
    <n v="2.4502920000000002E-3"/>
    <n v="5.8124580000000004E-3"/>
    <x v="0"/>
  </r>
  <r>
    <x v="0"/>
    <n v="16"/>
    <n v="16"/>
    <x v="43"/>
    <x v="35"/>
    <n v="8.1604099999999999E-4"/>
    <n v="6"/>
    <n v="1.5509579558743301E-8"/>
    <n v="2.7281683139005401E-6"/>
    <n v="2.4502920000000002E-3"/>
    <n v="5.8124580000000004E-3"/>
    <x v="0"/>
  </r>
  <r>
    <x v="0"/>
    <n v="16"/>
    <n v="16"/>
    <x v="44"/>
    <x v="36"/>
    <n v="8.9941700000000001E-4"/>
    <n v="6"/>
    <n v="1.58536277673434E-8"/>
    <n v="2.9187577875469001E-6"/>
    <n v="2.4502920000000002E-3"/>
    <n v="5.8124580000000004E-3"/>
    <x v="0"/>
  </r>
  <r>
    <x v="0"/>
    <n v="16"/>
    <n v="16"/>
    <x v="45"/>
    <x v="37"/>
    <n v="1.002167E-3"/>
    <n v="6"/>
    <n v="1.6613841565094601E-8"/>
    <n v="3.1974902404978898E-6"/>
    <n v="2.4502920000000002E-3"/>
    <n v="5.8124580000000004E-3"/>
    <x v="0"/>
  </r>
  <r>
    <x v="0"/>
    <n v="16"/>
    <n v="16"/>
    <x v="46"/>
    <x v="38"/>
    <n v="8.8129199999999999E-4"/>
    <n v="6"/>
    <n v="1.4638922747925499E-8"/>
    <n v="2.9417873468108498E-6"/>
    <n v="2.4502920000000002E-3"/>
    <n v="5.8124580000000004E-3"/>
    <x v="0"/>
  </r>
  <r>
    <x v="0"/>
    <n v="16"/>
    <n v="16"/>
    <x v="47"/>
    <x v="5"/>
    <n v="9.1733299999999999E-4"/>
    <n v="6"/>
    <n v="1.34409178107707E-8"/>
    <n v="2.8171439515835502E-6"/>
    <n v="2.4502920000000002E-3"/>
    <n v="5.8124580000000004E-3"/>
    <x v="0"/>
  </r>
  <r>
    <x v="0"/>
    <n v="16"/>
    <n v="16"/>
    <x v="48"/>
    <x v="39"/>
    <n v="8.7508400000000004E-4"/>
    <n v="6"/>
    <n v="1.2649139467269601E-8"/>
    <n v="2.7622032232278399E-6"/>
    <n v="2.4502920000000002E-3"/>
    <n v="5.8124580000000004E-3"/>
    <x v="0"/>
  </r>
  <r>
    <x v="0"/>
    <n v="16"/>
    <n v="16"/>
    <x v="49"/>
    <x v="40"/>
    <n v="8.64167E-4"/>
    <n v="6"/>
    <n v="1.20772425800914E-8"/>
    <n v="2.74495307150238E-6"/>
    <n v="2.4502920000000002E-3"/>
    <n v="5.8124580000000004E-3"/>
    <x v="0"/>
  </r>
  <r>
    <x v="0"/>
    <n v="16"/>
    <n v="16"/>
    <x v="50"/>
    <x v="41"/>
    <n v="8.8837499999999995E-4"/>
    <n v="6"/>
    <n v="1.16314026960397E-8"/>
    <n v="2.7488479376098201E-6"/>
    <n v="2.4502920000000002E-3"/>
    <n v="5.8124580000000004E-3"/>
    <x v="0"/>
  </r>
  <r>
    <x v="0"/>
    <n v="16"/>
    <n v="16"/>
    <x v="51"/>
    <x v="42"/>
    <n v="8.3866599999999996E-4"/>
    <n v="6"/>
    <n v="1.1262812205491101E-8"/>
    <n v="2.7651365548332799E-6"/>
    <n v="2.4502920000000002E-3"/>
    <n v="5.8124580000000004E-3"/>
    <x v="0"/>
  </r>
  <r>
    <x v="0"/>
    <n v="16"/>
    <n v="16"/>
    <x v="52"/>
    <x v="2"/>
    <n v="8.81458E-4"/>
    <n v="6"/>
    <n v="1.09447575769041E-8"/>
    <n v="2.78898872876786E-6"/>
    <n v="2.4502920000000002E-3"/>
    <n v="5.8124580000000004E-3"/>
    <x v="0"/>
  </r>
  <r>
    <x v="0"/>
    <n v="16"/>
    <n v="16"/>
    <x v="53"/>
    <x v="43"/>
    <n v="1.223292E-3"/>
    <n v="6"/>
    <n v="1.0661754474668099E-8"/>
    <n v="2.8176009312464599E-6"/>
    <n v="2.4502920000000002E-3"/>
    <n v="5.8124580000000004E-3"/>
    <x v="0"/>
  </r>
  <r>
    <x v="0"/>
    <n v="16"/>
    <n v="16"/>
    <x v="54"/>
    <x v="44"/>
    <n v="9.9354200000000004E-4"/>
    <n v="6"/>
    <n v="1.04043167453225E-8"/>
    <n v="2.8492649272811501E-6"/>
    <n v="2.4502920000000002E-3"/>
    <n v="5.8124580000000004E-3"/>
    <x v="0"/>
  </r>
  <r>
    <x v="0"/>
    <n v="16"/>
    <n v="16"/>
    <x v="55"/>
    <x v="11"/>
    <n v="9.3216700000000002E-4"/>
    <n v="6"/>
    <n v="1.0166343496994899E-8"/>
    <n v="2.88289660515304E-6"/>
    <n v="2.4502920000000002E-3"/>
    <n v="5.8124580000000004E-3"/>
    <x v="0"/>
  </r>
  <r>
    <x v="0"/>
    <n v="16"/>
    <n v="16"/>
    <x v="56"/>
    <x v="19"/>
    <n v="1.0480419999999999E-3"/>
    <n v="6"/>
    <n v="9.9437484827687397E-9"/>
    <n v="2.9177870465828201E-6"/>
    <n v="2.4502920000000002E-3"/>
    <n v="5.8124580000000004E-3"/>
    <x v="0"/>
  </r>
  <r>
    <x v="0"/>
    <n v="16"/>
    <n v="16"/>
    <x v="57"/>
    <x v="43"/>
    <n v="9.7008399999999996E-4"/>
    <n v="6"/>
    <n v="9.7337014680110799E-9"/>
    <n v="2.9534640409314899E-6"/>
    <n v="2.4502920000000002E-3"/>
    <n v="5.8124580000000004E-3"/>
    <x v="0"/>
  </r>
  <r>
    <x v="0"/>
    <n v="16"/>
    <n v="16"/>
    <x v="58"/>
    <x v="45"/>
    <n v="9.9139999999999992E-3"/>
    <n v="6"/>
    <n v="9.5341858675912299E-9"/>
    <n v="2.98961081174483E-6"/>
    <n v="2.4502920000000002E-3"/>
    <n v="5.8124580000000004E-3"/>
    <x v="0"/>
  </r>
  <r>
    <x v="0"/>
    <n v="16"/>
    <n v="16"/>
    <x v="59"/>
    <x v="46"/>
    <n v="8.8241600000000002E-4"/>
    <n v="6"/>
    <n v="9.3437285282094797E-9"/>
    <n v="3.0260158530793002E-6"/>
    <n v="2.4502920000000002E-3"/>
    <n v="5.8124580000000004E-3"/>
    <x v="0"/>
  </r>
  <r>
    <x v="0"/>
    <n v="16"/>
    <n v="16"/>
    <x v="60"/>
    <x v="26"/>
    <n v="8.5783300000000001E-4"/>
    <n v="6"/>
    <n v="9.1612281743170198E-9"/>
    <n v="3.0625405918780999E-6"/>
    <n v="2.4502920000000002E-3"/>
    <n v="5.8124580000000004E-3"/>
    <x v="0"/>
  </r>
  <r>
    <x v="0"/>
    <n v="16"/>
    <n v="16"/>
    <x v="61"/>
    <x v="21"/>
    <n v="9.1579200000000002E-4"/>
    <n v="6"/>
    <n v="8.9858430228722303E-9"/>
    <n v="3.0990977682866801E-6"/>
    <n v="2.4502920000000002E-3"/>
    <n v="5.8124580000000004E-3"/>
    <x v="0"/>
  </r>
  <r>
    <x v="0"/>
    <n v="16"/>
    <n v="16"/>
    <x v="62"/>
    <x v="17"/>
    <n v="9.5220899999999998E-4"/>
    <n v="6"/>
    <n v="8.8169153958957101E-9"/>
    <n v="3.13563658436516E-6"/>
    <n v="2.4502920000000002E-3"/>
    <n v="5.8124580000000004E-3"/>
    <x v="0"/>
  </r>
  <r>
    <x v="0"/>
    <n v="16"/>
    <n v="16"/>
    <x v="63"/>
    <x v="47"/>
    <n v="1.2478750000000001E-3"/>
    <n v="6"/>
    <n v="8.6539201325775905E-9"/>
    <n v="3.1721322642362E-6"/>
    <n v="2.4502920000000002E-3"/>
    <n v="5.8124580000000004E-3"/>
    <x v="0"/>
  </r>
  <r>
    <x v="0"/>
    <n v="16"/>
    <n v="16"/>
    <x v="64"/>
    <x v="48"/>
    <n v="9.0466699999999995E-4"/>
    <n v="6"/>
    <n v="8.4964287916339993E-9"/>
    <n v="3.20857860991546E-6"/>
    <n v="2.4502920000000002E-3"/>
    <n v="5.8124580000000004E-3"/>
    <x v="0"/>
  </r>
  <r>
    <x v="0"/>
    <n v="16"/>
    <n v="16"/>
    <x v="65"/>
    <x v="49"/>
    <n v="8.7254200000000002E-4"/>
    <n v="6"/>
    <n v="8.3440844592654599E-9"/>
    <n v="3.2449826135784301E-6"/>
    <n v="2.4502920000000002E-3"/>
    <n v="5.8124580000000004E-3"/>
    <x v="0"/>
  </r>
  <r>
    <x v="0"/>
    <n v="16"/>
    <n v="16"/>
    <x v="66"/>
    <x v="50"/>
    <n v="1.2126249999999999E-3"/>
    <n v="6"/>
    <n v="8.1965838762178893E-9"/>
    <n v="3.2813605397332999E-6"/>
    <n v="2.4502920000000002E-3"/>
    <n v="5.8124580000000004E-3"/>
    <x v="0"/>
  </r>
  <r>
    <x v="0"/>
    <n v="16"/>
    <n v="16"/>
    <x v="67"/>
    <x v="45"/>
    <n v="9.4583299999999998E-4"/>
    <n v="6"/>
    <n v="8.0536645864799805E-9"/>
    <n v="3.3177350387367E-6"/>
    <n v="2.4502920000000002E-3"/>
    <n v="5.8124580000000004E-3"/>
    <x v="0"/>
  </r>
  <r>
    <x v="0"/>
    <n v="16"/>
    <n v="16"/>
    <x v="68"/>
    <x v="51"/>
    <n v="8.3229199999999999E-4"/>
    <n v="6"/>
    <n v="7.9150956680319897E-9"/>
    <n v="3.35413303215443E-6"/>
    <n v="2.4502920000000002E-3"/>
    <n v="5.8124580000000004E-3"/>
    <x v="0"/>
  </r>
  <r>
    <x v="0"/>
    <n v="16"/>
    <n v="16"/>
    <x v="69"/>
    <x v="9"/>
    <n v="9.1470899999999999E-4"/>
    <n v="5"/>
    <n v="8.09703044984677E-9"/>
    <n v="3.52844417163492E-6"/>
    <n v="2.4502920000000002E-3"/>
    <n v="5.8124580000000004E-3"/>
    <x v="0"/>
  </r>
  <r>
    <x v="0"/>
    <n v="16"/>
    <n v="16"/>
    <x v="70"/>
    <x v="52"/>
    <n v="8.6995799999999999E-4"/>
    <n v="5"/>
    <n v="7.9267463469238806E-9"/>
    <n v="3.55100429911235E-6"/>
    <n v="2.4502920000000002E-3"/>
    <n v="5.8124580000000004E-3"/>
    <x v="0"/>
  </r>
  <r>
    <x v="0"/>
    <n v="16"/>
    <n v="16"/>
    <x v="71"/>
    <x v="53"/>
    <n v="7.8204100000000003E-4"/>
    <n v="5"/>
    <n v="7.77005453884039E-9"/>
    <n v="3.57727158022151E-6"/>
    <n v="2.4502920000000002E-3"/>
    <n v="5.8124580000000004E-3"/>
    <x v="0"/>
  </r>
  <r>
    <x v="0"/>
    <n v="16"/>
    <n v="16"/>
    <x v="72"/>
    <x v="54"/>
    <n v="9.2979200000000003E-4"/>
    <n v="5"/>
    <n v="7.6244072924393195E-9"/>
    <n v="3.6064949924138499E-6"/>
    <n v="2.4502920000000002E-3"/>
    <n v="5.8124580000000004E-3"/>
    <x v="0"/>
  </r>
  <r>
    <x v="0"/>
    <n v="16"/>
    <n v="16"/>
    <x v="73"/>
    <x v="9"/>
    <n v="9.2537499999999998E-4"/>
    <n v="5"/>
    <n v="7.4881655552102399E-9"/>
    <n v="3.6382483098160802E-6"/>
    <n v="2.4502920000000002E-3"/>
    <n v="5.8124580000000004E-3"/>
    <x v="0"/>
  </r>
  <r>
    <x v="0"/>
    <n v="16"/>
    <n v="16"/>
    <x v="74"/>
    <x v="55"/>
    <n v="8.8024999999999996E-4"/>
    <n v="5"/>
    <n v="7.3601818407268904E-9"/>
    <n v="3.6722763292399102E-6"/>
    <n v="2.4502920000000002E-3"/>
    <n v="5.8124580000000004E-3"/>
    <x v="0"/>
  </r>
  <r>
    <x v="0"/>
    <n v="16"/>
    <n v="16"/>
    <x v="75"/>
    <x v="53"/>
    <n v="1.033459E-3"/>
    <n v="5"/>
    <n v="7.2395848901113203E-9"/>
    <n v="3.70841403143398E-6"/>
    <n v="2.4502920000000002E-3"/>
    <n v="5.8124580000000004E-3"/>
    <x v="0"/>
  </r>
  <r>
    <x v="0"/>
    <n v="16"/>
    <n v="16"/>
    <x v="76"/>
    <x v="56"/>
    <n v="8.8258300000000004E-4"/>
    <n v="5"/>
    <n v="7.1256645398794801E-9"/>
    <n v="3.74654250695583E-6"/>
    <n v="2.4502920000000002E-3"/>
    <n v="5.8124580000000004E-3"/>
    <x v="0"/>
  </r>
  <r>
    <x v="0"/>
    <n v="16"/>
    <n v="16"/>
    <x v="77"/>
    <x v="12"/>
    <n v="9.1308299999999997E-4"/>
    <n v="5"/>
    <n v="7.0178082046071698E-9"/>
    <n v="3.78656409632161E-6"/>
    <n v="2.4502920000000002E-3"/>
    <n v="5.8124580000000004E-3"/>
    <x v="0"/>
  </r>
  <r>
    <x v="0"/>
    <n v="16"/>
    <n v="16"/>
    <x v="78"/>
    <x v="20"/>
    <n v="8.8937499999999997E-4"/>
    <n v="5"/>
    <n v="6.9154650310737399E-9"/>
    <n v="3.8283880118937098E-6"/>
    <n v="2.4502920000000002E-3"/>
    <n v="5.8124580000000004E-3"/>
    <x v="0"/>
  </r>
  <r>
    <x v="0"/>
    <n v="16"/>
    <n v="16"/>
    <x v="79"/>
    <x v="57"/>
    <n v="9.5795899999999998E-4"/>
    <n v="5"/>
    <n v="6.8181255113329796E-9"/>
    <n v="3.87192196459857E-6"/>
    <n v="2.4502920000000002E-3"/>
    <n v="5.8124580000000004E-3"/>
    <x v="0"/>
  </r>
  <r>
    <x v="0"/>
    <n v="16"/>
    <n v="16"/>
    <x v="80"/>
    <x v="22"/>
    <n v="1.282334E-3"/>
    <n v="5"/>
    <n v="6.7253101270787403E-9"/>
    <n v="3.9170674479528997E-6"/>
    <n v="2.4502920000000002E-3"/>
    <n v="5.8124580000000004E-3"/>
    <x v="0"/>
  </r>
  <r>
    <x v="0"/>
    <n v="16"/>
    <n v="16"/>
    <x v="81"/>
    <x v="58"/>
    <n v="8.4654200000000004E-4"/>
    <n v="5"/>
    <n v="6.6365634295042304E-9"/>
    <n v="3.9637173653394697E-6"/>
    <n v="2.4502920000000002E-3"/>
    <n v="5.8124580000000004E-3"/>
    <x v="0"/>
  </r>
  <r>
    <x v="0"/>
    <n v="16"/>
    <n v="16"/>
    <x v="82"/>
    <x v="22"/>
    <n v="8.2795799999999995E-4"/>
    <n v="5"/>
    <n v="6.5514514921469998E-9"/>
    <n v="4.0117552538922303E-6"/>
    <n v="2.4502920000000002E-3"/>
    <n v="5.8124580000000004E-3"/>
    <x v="0"/>
  </r>
  <r>
    <x v="0"/>
    <n v="16"/>
    <n v="16"/>
    <x v="83"/>
    <x v="59"/>
    <n v="1.0254579999999999E-3"/>
    <n v="5"/>
    <n v="6.4695614516589498E-9"/>
    <n v="4.0610556317601499E-6"/>
    <n v="2.4502920000000002E-3"/>
    <n v="5.8124580000000004E-3"/>
    <x v="0"/>
  </r>
  <r>
    <x v="0"/>
    <n v="16"/>
    <n v="16"/>
    <x v="84"/>
    <x v="48"/>
    <n v="9.3674999999999997E-4"/>
    <n v="5"/>
    <n v="6.3905023346385903E-9"/>
    <n v="4.1114851706667197E-6"/>
    <n v="2.4502920000000002E-3"/>
    <n v="5.8124580000000004E-3"/>
    <x v="0"/>
  </r>
  <r>
    <x v="0"/>
    <n v="16"/>
    <n v="16"/>
    <x v="85"/>
    <x v="60"/>
    <n v="9.9879200000000008E-4"/>
    <n v="5"/>
    <n v="6.3139065862298899E-9"/>
    <n v="4.1629044532179801E-6"/>
    <n v="2.4502920000000002E-3"/>
    <n v="5.8124580000000004E-3"/>
    <x v="0"/>
  </r>
  <r>
    <x v="0"/>
    <n v="16"/>
    <n v="16"/>
    <x v="86"/>
    <x v="61"/>
    <n v="8.6512500000000001E-4"/>
    <n v="5"/>
    <n v="6.2394319018481697E-9"/>
    <n v="4.2151701346207601E-6"/>
    <n v="2.4502920000000002E-3"/>
    <n v="5.8124580000000004E-3"/>
    <x v="0"/>
  </r>
  <r>
    <x v="0"/>
    <n v="16"/>
    <n v="16"/>
    <x v="87"/>
    <x v="15"/>
    <n v="6.4619999999999999E-3"/>
    <n v="5"/>
    <n v="6.1667630620705004E-9"/>
    <n v="4.2681373503562002E-6"/>
    <n v="2.4502920000000002E-3"/>
    <n v="5.8124580000000004E-3"/>
    <x v="0"/>
  </r>
  <r>
    <x v="0"/>
    <n v="16"/>
    <n v="16"/>
    <x v="88"/>
    <x v="62"/>
    <n v="1.0327909999999999E-3"/>
    <n v="5"/>
    <n v="6.0956135591634403E-9"/>
    <n v="4.3216622368194098E-6"/>
    <n v="2.4502920000000002E-3"/>
    <n v="5.8124580000000004E-3"/>
    <x v="0"/>
  </r>
  <r>
    <x v="0"/>
    <n v="16"/>
    <n v="16"/>
    <x v="89"/>
    <x v="63"/>
    <n v="8.5300000000000003E-4"/>
    <n v="5"/>
    <n v="6.0257268437197498E-9"/>
    <n v="4.3756044326120898E-6"/>
    <n v="2.4502920000000002E-3"/>
    <n v="5.8124580000000004E-3"/>
    <x v="0"/>
  </r>
  <r>
    <x v="0"/>
    <n v="16"/>
    <n v="16"/>
    <x v="90"/>
    <x v="34"/>
    <n v="9.5525000000000004E-4"/>
    <n v="5"/>
    <n v="5.95687710647601E-9"/>
    <n v="4.4298294673282699E-6"/>
    <n v="2.4502920000000002E-3"/>
    <n v="5.8124580000000004E-3"/>
    <x v="0"/>
  </r>
  <r>
    <x v="0"/>
    <n v="16"/>
    <n v="16"/>
    <x v="91"/>
    <x v="64"/>
    <n v="1.1078329999999999E-3"/>
    <n v="5"/>
    <n v="5.8888695144712597E-9"/>
    <n v="4.4842109327397897E-6"/>
    <n v="2.4502920000000002E-3"/>
    <n v="5.8124580000000004E-3"/>
    <x v="0"/>
  </r>
  <r>
    <x v="0"/>
    <n v="16"/>
    <n v="16"/>
    <x v="92"/>
    <x v="5"/>
    <n v="8.9400000000000005E-4"/>
    <n v="5"/>
    <n v="5.8215398940957698E-9"/>
    <n v="4.5386323728262401E-6"/>
    <n v="2.4502920000000002E-3"/>
    <n v="5.8124580000000004E-3"/>
    <x v="0"/>
  </r>
  <r>
    <x v="0"/>
    <n v="16"/>
    <n v="16"/>
    <x v="93"/>
    <x v="22"/>
    <n v="9.00959E-4"/>
    <n v="5"/>
    <n v="5.7547538767003299E-9"/>
    <n v="4.5929888414999701E-6"/>
    <n v="2.4502920000000002E-3"/>
    <n v="5.8124580000000004E-3"/>
    <x v="0"/>
  </r>
  <r>
    <x v="0"/>
    <n v="16"/>
    <n v="16"/>
    <x v="94"/>
    <x v="65"/>
    <n v="8.3962499999999999E-4"/>
    <n v="5"/>
    <n v="5.68840554733062E-9"/>
    <n v="4.64718809428279E-6"/>
    <n v="2.4502920000000002E-3"/>
    <n v="5.8124580000000004E-3"/>
    <x v="0"/>
  </r>
  <r>
    <x v="0"/>
    <n v="16"/>
    <n v="16"/>
    <x v="95"/>
    <x v="7"/>
    <n v="9.2412500000000003E-4"/>
    <n v="5"/>
    <n v="5.62241566355248E-9"/>
    <n v="4.7011514030808298E-6"/>
    <n v="2.4502920000000002E-3"/>
    <n v="5.8124580000000004E-3"/>
    <x v="0"/>
  </r>
  <r>
    <x v="0"/>
    <n v="16"/>
    <n v="16"/>
    <x v="96"/>
    <x v="66"/>
    <n v="1.1867500000000001E-3"/>
    <n v="5"/>
    <n v="5.55672951477091E-9"/>
    <n v="4.75481399134726E-6"/>
    <n v="2.4502920000000002E-3"/>
    <n v="5.8124580000000004E-3"/>
    <x v="0"/>
  </r>
  <r>
    <x v="0"/>
    <n v="16"/>
    <n v="16"/>
    <x v="97"/>
    <x v="38"/>
    <n v="9.4279200000000002E-4"/>
    <n v="5"/>
    <n v="5.4913145237483102E-9"/>
    <n v="4.8081251207160302E-6"/>
    <n v="2.4502920000000002E-3"/>
    <n v="5.8124580000000004E-3"/>
    <x v="0"/>
  </r>
  <r>
    <x v="0"/>
    <n v="16"/>
    <n v="16"/>
    <x v="98"/>
    <x v="21"/>
    <n v="9.0979099999999996E-4"/>
    <n v="5"/>
    <n v="5.4261576680665104E-9"/>
    <n v="4.8610478509169499E-6"/>
    <n v="2.4502920000000002E-3"/>
    <n v="5.8124580000000004E-3"/>
    <x v="0"/>
  </r>
  <r>
    <x v="0"/>
    <n v="16"/>
    <n v="16"/>
    <x v="99"/>
    <x v="38"/>
    <n v="1.0232080000000001E-3"/>
    <n v="5"/>
    <n v="5.3612628094870199E-9"/>
    <n v="4.9135585135769603E-6"/>
    <n v="2.4502920000000002E-3"/>
    <n v="5.8124580000000004E-3"/>
    <x v="0"/>
  </r>
  <r>
    <x v="1"/>
    <n v="32"/>
    <n v="32"/>
    <x v="0"/>
    <x v="67"/>
    <n v="1.097041E-3"/>
    <n v="6"/>
    <n v="2.2068908695813501E-14"/>
    <n v="5.3932995793585302E-15"/>
    <n v="4.8724297920000001"/>
    <n v="7.1964589999999997E-3"/>
    <x v="1"/>
  </r>
  <r>
    <x v="1"/>
    <n v="32"/>
    <n v="32"/>
    <x v="1"/>
    <x v="68"/>
    <n v="1.424542E-3"/>
    <n v="8"/>
    <n v="1.5438323655778099E-14"/>
    <n v="1.05615081498311E-14"/>
    <n v="4.8724297920000001"/>
    <n v="7.1964589999999997E-3"/>
    <x v="1"/>
  </r>
  <r>
    <x v="1"/>
    <n v="32"/>
    <n v="32"/>
    <x v="2"/>
    <x v="69"/>
    <n v="1.292208E-3"/>
    <n v="8"/>
    <n v="9.2060327362249398E-15"/>
    <n v="1.2553973208799E-14"/>
    <n v="4.8724297920000001"/>
    <n v="7.1964589999999997E-3"/>
    <x v="1"/>
  </r>
  <r>
    <x v="1"/>
    <n v="32"/>
    <n v="32"/>
    <x v="3"/>
    <x v="70"/>
    <n v="1.5327920000000001E-3"/>
    <n v="8"/>
    <n v="5.55782536485786E-7"/>
    <n v="1.2504091756143101E-6"/>
    <n v="4.8724297920000001"/>
    <n v="7.1964589999999997E-3"/>
    <x v="1"/>
  </r>
  <r>
    <x v="1"/>
    <n v="32"/>
    <n v="32"/>
    <x v="4"/>
    <x v="71"/>
    <n v="1.3102089999999999E-3"/>
    <n v="9"/>
    <n v="5.2044454417052196E-7"/>
    <n v="1.7052760062595599E-6"/>
    <n v="4.8724297920000001"/>
    <n v="7.1964589999999997E-3"/>
    <x v="1"/>
  </r>
  <r>
    <x v="1"/>
    <n v="32"/>
    <n v="32"/>
    <x v="5"/>
    <x v="72"/>
    <n v="1.851875E-3"/>
    <n v="10"/>
    <n v="4.1606679144516298E-7"/>
    <n v="1.7955483719435001E-6"/>
    <n v="4.8724297920000001"/>
    <n v="7.1964589999999997E-3"/>
    <x v="1"/>
  </r>
  <r>
    <x v="1"/>
    <n v="32"/>
    <n v="32"/>
    <x v="6"/>
    <x v="73"/>
    <n v="1.4254999999999999E-3"/>
    <n v="10"/>
    <n v="3.34793936479277E-7"/>
    <n v="1.7718048549046801E-6"/>
    <n v="4.8724297920000001"/>
    <n v="7.1964589999999997E-3"/>
    <x v="1"/>
  </r>
  <r>
    <x v="1"/>
    <n v="32"/>
    <n v="32"/>
    <x v="7"/>
    <x v="74"/>
    <n v="1.5865409999999999E-3"/>
    <n v="10"/>
    <n v="2.95089131659515E-7"/>
    <n v="1.8345857452237099E-6"/>
    <n v="4.8724297920000001"/>
    <n v="7.1964589999999997E-3"/>
    <x v="1"/>
  </r>
  <r>
    <x v="1"/>
    <n v="32"/>
    <n v="32"/>
    <x v="8"/>
    <x v="75"/>
    <n v="1.433791E-3"/>
    <n v="10"/>
    <n v="2.7173690735859799E-7"/>
    <n v="1.9380734963685399E-6"/>
    <n v="4.8724297920000001"/>
    <n v="7.1964589999999997E-3"/>
    <x v="1"/>
  </r>
  <r>
    <x v="1"/>
    <n v="32"/>
    <n v="32"/>
    <x v="9"/>
    <x v="76"/>
    <n v="1.555917E-3"/>
    <n v="10"/>
    <n v="2.5670061565922099E-7"/>
    <n v="2.07292252765159E-6"/>
    <n v="4.8724297920000001"/>
    <n v="7.1964589999999997E-3"/>
    <x v="1"/>
  </r>
  <r>
    <x v="1"/>
    <n v="32"/>
    <n v="32"/>
    <x v="10"/>
    <x v="77"/>
    <n v="1.6158329999999999E-3"/>
    <n v="10"/>
    <n v="2.47988871919351E-7"/>
    <n v="2.2499180300809499E-6"/>
    <n v="4.8724297920000001"/>
    <n v="7.1964589999999997E-3"/>
    <x v="1"/>
  </r>
  <r>
    <x v="1"/>
    <n v="32"/>
    <n v="32"/>
    <x v="11"/>
    <x v="78"/>
    <n v="3.0708749999999998E-3"/>
    <n v="10"/>
    <n v="2.40633041689376E-7"/>
    <n v="2.4405966898011502E-6"/>
    <n v="4.8724297920000001"/>
    <n v="7.1964589999999997E-3"/>
    <x v="1"/>
  </r>
  <r>
    <x v="1"/>
    <n v="32"/>
    <n v="32"/>
    <x v="12"/>
    <x v="79"/>
    <n v="1.4959579999999999E-3"/>
    <n v="10"/>
    <n v="2.2174562020152701E-7"/>
    <n v="2.5052156922891998E-6"/>
    <n v="4.8724297920000001"/>
    <n v="7.1964589999999997E-3"/>
    <x v="1"/>
  </r>
  <r>
    <x v="1"/>
    <n v="32"/>
    <n v="32"/>
    <x v="13"/>
    <x v="80"/>
    <n v="1.4660000000000001E-3"/>
    <n v="10"/>
    <n v="2.0428151413662899E-7"/>
    <n v="2.5635709588118999E-6"/>
    <n v="4.8724297920000001"/>
    <n v="7.1964589999999997E-3"/>
    <x v="1"/>
  </r>
  <r>
    <x v="1"/>
    <n v="32"/>
    <n v="32"/>
    <x v="14"/>
    <x v="81"/>
    <n v="1.4174999999999999E-3"/>
    <n v="9"/>
    <n v="1.99279244323989E-7"/>
    <n v="2.7712158708069302E-6"/>
    <n v="4.8724297920000001"/>
    <n v="7.1964589999999997E-3"/>
    <x v="1"/>
  </r>
  <r>
    <x v="1"/>
    <n v="32"/>
    <n v="32"/>
    <x v="15"/>
    <x v="82"/>
    <n v="1.464E-3"/>
    <n v="9"/>
    <n v="1.8538926818535499E-7"/>
    <n v="2.85076059527067E-6"/>
    <n v="4.8724297920000001"/>
    <n v="7.1964589999999997E-3"/>
    <x v="1"/>
  </r>
  <r>
    <x v="1"/>
    <n v="32"/>
    <n v="32"/>
    <x v="16"/>
    <x v="83"/>
    <n v="1.4139580000000001E-3"/>
    <n v="9"/>
    <n v="1.75555514458145E-7"/>
    <n v="2.9791948186338799E-6"/>
    <n v="4.8724297920000001"/>
    <n v="7.1964589999999997E-3"/>
    <x v="1"/>
  </r>
  <r>
    <x v="1"/>
    <n v="32"/>
    <n v="32"/>
    <x v="17"/>
    <x v="84"/>
    <n v="1.5447919999999999E-3"/>
    <n v="9"/>
    <n v="1.67762593305151E-7"/>
    <n v="3.13592168848292E-6"/>
    <n v="4.8724297920000001"/>
    <n v="7.1964589999999997E-3"/>
    <x v="1"/>
  </r>
  <r>
    <x v="1"/>
    <n v="32"/>
    <n v="32"/>
    <x v="18"/>
    <x v="85"/>
    <n v="1.4018329999999999E-3"/>
    <n v="9"/>
    <n v="1.67773190640711E-7"/>
    <n v="3.4480637794497699E-6"/>
    <n v="4.8724297920000001"/>
    <n v="7.1964589999999997E-3"/>
    <x v="1"/>
  </r>
  <r>
    <x v="1"/>
    <n v="32"/>
    <n v="32"/>
    <x v="19"/>
    <x v="86"/>
    <n v="1.5057919999999999E-3"/>
    <n v="8"/>
    <n v="1.6363082831725E-7"/>
    <n v="3.6906763778770499E-6"/>
    <n v="4.8724297920000001"/>
    <n v="7.1964589999999997E-3"/>
    <x v="1"/>
  </r>
  <r>
    <x v="1"/>
    <n v="32"/>
    <n v="32"/>
    <x v="20"/>
    <x v="87"/>
    <n v="1.3025409999999999E-3"/>
    <n v="8"/>
    <n v="1.5412678999957801E-7"/>
    <n v="3.8081478863568599E-6"/>
    <n v="4.8724297920000001"/>
    <n v="7.1964589999999997E-3"/>
    <x v="1"/>
  </r>
  <r>
    <x v="1"/>
    <n v="32"/>
    <n v="32"/>
    <x v="21"/>
    <x v="88"/>
    <n v="1.4999589999999999E-3"/>
    <n v="8"/>
    <n v="1.4782094387952999E-7"/>
    <n v="3.9936493179167398E-6"/>
    <n v="4.8724297920000001"/>
    <n v="7.1964589999999997E-3"/>
    <x v="1"/>
  </r>
  <r>
    <x v="1"/>
    <n v="32"/>
    <n v="32"/>
    <x v="22"/>
    <x v="89"/>
    <n v="1.87375E-3"/>
    <n v="8"/>
    <n v="1.4281122930366399E-7"/>
    <n v="4.21106624065025E-6"/>
    <n v="4.8724297920000001"/>
    <n v="7.1964589999999997E-3"/>
    <x v="1"/>
  </r>
  <r>
    <x v="1"/>
    <n v="32"/>
    <n v="32"/>
    <x v="23"/>
    <x v="90"/>
    <n v="1.474333E-3"/>
    <n v="8"/>
    <n v="1.3848323894023701E-7"/>
    <n v="4.4484921702799597E-6"/>
    <n v="4.8724297920000001"/>
    <n v="7.1964589999999997E-3"/>
    <x v="1"/>
  </r>
  <r>
    <x v="1"/>
    <n v="32"/>
    <n v="32"/>
    <x v="24"/>
    <x v="91"/>
    <n v="2.274042E-3"/>
    <n v="8"/>
    <n v="1.3457983845701401E-7"/>
    <n v="4.7007154108341398E-6"/>
    <n v="4.8724297920000001"/>
    <n v="7.1964589999999997E-3"/>
    <x v="1"/>
  </r>
  <r>
    <x v="1"/>
    <n v="32"/>
    <n v="32"/>
    <x v="25"/>
    <x v="92"/>
    <n v="1.432916E-3"/>
    <n v="8"/>
    <n v="1.3097461594420401E-7"/>
    <n v="4.9649460123713504E-6"/>
    <n v="4.8724297920000001"/>
    <n v="7.1964589999999997E-3"/>
    <x v="1"/>
  </r>
  <r>
    <x v="1"/>
    <n v="32"/>
    <n v="32"/>
    <x v="26"/>
    <x v="93"/>
    <n v="1.353833E-3"/>
    <n v="8"/>
    <n v="1.27597175546333E-7"/>
    <n v="5.2393885956366702E-6"/>
    <n v="4.8724297920000001"/>
    <n v="7.1964589999999997E-3"/>
    <x v="1"/>
  </r>
  <r>
    <x v="1"/>
    <n v="32"/>
    <n v="32"/>
    <x v="27"/>
    <x v="94"/>
    <n v="1.3896659999999999E-3"/>
    <n v="8"/>
    <n v="1.25556310406268E-7"/>
    <n v="5.57383299399516E-6"/>
    <n v="4.8724297920000001"/>
    <n v="7.1964589999999997E-3"/>
    <x v="1"/>
  </r>
  <r>
    <x v="1"/>
    <n v="32"/>
    <n v="32"/>
    <x v="28"/>
    <x v="95"/>
    <n v="1.3818750000000001E-3"/>
    <n v="8"/>
    <n v="1.2315826898935999E-7"/>
    <n v="5.8995006550393298E-6"/>
    <n v="4.8724297920000001"/>
    <n v="7.1964589999999997E-3"/>
    <x v="1"/>
  </r>
  <r>
    <x v="1"/>
    <n v="32"/>
    <n v="32"/>
    <x v="29"/>
    <x v="96"/>
    <n v="1.3270000000000001E-3"/>
    <n v="8"/>
    <n v="1.1954855905575999E-7"/>
    <n v="6.1672474610033798E-6"/>
    <n v="4.8724297920000001"/>
    <n v="7.1964589999999997E-3"/>
    <x v="1"/>
  </r>
  <r>
    <x v="1"/>
    <n v="32"/>
    <n v="32"/>
    <x v="30"/>
    <x v="97"/>
    <n v="1.3567080000000001E-3"/>
    <n v="8"/>
    <n v="1.1678267471410601E-7"/>
    <n v="6.4756098966802799E-6"/>
    <n v="4.8724297920000001"/>
    <n v="7.1964589999999997E-3"/>
    <x v="1"/>
  </r>
  <r>
    <x v="1"/>
    <n v="32"/>
    <n v="32"/>
    <x v="31"/>
    <x v="98"/>
    <n v="1.4575E-3"/>
    <n v="8"/>
    <n v="1.14931744315605E-7"/>
    <n v="6.8369185253916002E-6"/>
    <n v="4.8724297920000001"/>
    <n v="7.1964589999999997E-3"/>
    <x v="1"/>
  </r>
  <r>
    <x v="1"/>
    <n v="32"/>
    <n v="32"/>
    <x v="32"/>
    <x v="99"/>
    <n v="1.3953329999999999E-3"/>
    <n v="8"/>
    <n v="1.14162859445775E-7"/>
    <n v="7.2716275367663597E-6"/>
    <n v="4.8724297920000001"/>
    <n v="7.1964589999999997E-3"/>
    <x v="1"/>
  </r>
  <r>
    <x v="1"/>
    <n v="32"/>
    <n v="32"/>
    <x v="33"/>
    <x v="100"/>
    <n v="1.271292E-3"/>
    <n v="8"/>
    <n v="1.11626791246979E-7"/>
    <n v="7.5986676084310398E-6"/>
    <n v="4.8724297920000001"/>
    <n v="7.1964589999999997E-3"/>
    <x v="1"/>
  </r>
  <r>
    <x v="1"/>
    <n v="32"/>
    <n v="32"/>
    <x v="34"/>
    <x v="101"/>
    <n v="1.365333E-3"/>
    <n v="8"/>
    <n v="1.0837970154808601E-7"/>
    <n v="7.8698209859441705E-6"/>
    <n v="4.8724297920000001"/>
    <n v="7.1964589999999997E-3"/>
    <x v="1"/>
  </r>
  <r>
    <x v="1"/>
    <n v="32"/>
    <n v="32"/>
    <x v="35"/>
    <x v="102"/>
    <n v="1.479083E-3"/>
    <n v="8"/>
    <n v="1.05117909793687E-7"/>
    <n v="8.1271670310248302E-6"/>
    <n v="4.8724297920000001"/>
    <n v="7.1964589999999997E-3"/>
    <x v="1"/>
  </r>
  <r>
    <x v="1"/>
    <n v="32"/>
    <n v="32"/>
    <x v="36"/>
    <x v="103"/>
    <n v="1.291791E-3"/>
    <n v="8"/>
    <n v="1.0262041706390599E-7"/>
    <n v="8.4324448093944804E-6"/>
    <n v="4.8724297920000001"/>
    <n v="7.1964589999999997E-3"/>
    <x v="1"/>
  </r>
  <r>
    <x v="1"/>
    <n v="32"/>
    <n v="32"/>
    <x v="37"/>
    <x v="104"/>
    <n v="1.4251660000000001E-3"/>
    <n v="8"/>
    <n v="9.9864530916413406E-8"/>
    <n v="8.7059441697911893E-6"/>
    <n v="4.8724297920000001"/>
    <n v="7.1964589999999997E-3"/>
    <x v="1"/>
  </r>
  <r>
    <x v="1"/>
    <n v="32"/>
    <n v="32"/>
    <x v="38"/>
    <x v="105"/>
    <n v="1.352584E-3"/>
    <n v="8"/>
    <n v="9.7416455414509601E-8"/>
    <n v="8.9942939294400395E-6"/>
    <n v="4.8724297920000001"/>
    <n v="7.1964589999999997E-3"/>
    <x v="1"/>
  </r>
  <r>
    <x v="1"/>
    <n v="32"/>
    <n v="32"/>
    <x v="39"/>
    <x v="106"/>
    <n v="1.372208E-3"/>
    <n v="8"/>
    <n v="9.5181572505435195E-8"/>
    <n v="9.2914228014304796E-6"/>
    <n v="4.8724297920000001"/>
    <n v="7.1964589999999997E-3"/>
    <x v="1"/>
  </r>
  <r>
    <x v="1"/>
    <n v="32"/>
    <n v="32"/>
    <x v="40"/>
    <x v="107"/>
    <n v="1.322667E-3"/>
    <n v="8"/>
    <n v="9.30971945014341E-8"/>
    <n v="9.5928031763781997E-6"/>
    <n v="4.8724297920000001"/>
    <n v="7.1964589999999997E-3"/>
    <x v="1"/>
  </r>
  <r>
    <x v="1"/>
    <n v="32"/>
    <n v="32"/>
    <x v="41"/>
    <x v="108"/>
    <n v="1.512333E-3"/>
    <n v="8"/>
    <n v="9.1125293785098594E-8"/>
    <n v="9.8954186408126993E-6"/>
    <n v="4.8724297920000001"/>
    <n v="7.1964589999999997E-3"/>
    <x v="1"/>
  </r>
  <r>
    <x v="1"/>
    <n v="32"/>
    <n v="32"/>
    <x v="42"/>
    <x v="109"/>
    <n v="1.3485000000000001E-3"/>
    <n v="8"/>
    <n v="8.9243029933020701E-8"/>
    <n v="1.0197299636288801E-5"/>
    <n v="4.8724297920000001"/>
    <n v="7.1964589999999997E-3"/>
    <x v="1"/>
  </r>
  <r>
    <x v="1"/>
    <n v="32"/>
    <n v="32"/>
    <x v="43"/>
    <x v="110"/>
    <n v="1.8560409999999999E-3"/>
    <n v="8"/>
    <n v="8.7436307436332405E-8"/>
    <n v="1.0497142358842399E-5"/>
    <n v="4.8724297920000001"/>
    <n v="7.1964589999999997E-3"/>
    <x v="1"/>
  </r>
  <r>
    <x v="1"/>
    <n v="32"/>
    <n v="32"/>
    <x v="44"/>
    <x v="111"/>
    <n v="1.84575E-3"/>
    <n v="8"/>
    <n v="8.5696041972965099E-8"/>
    <n v="1.07940687271345E-5"/>
    <n v="4.8724297920000001"/>
    <n v="7.1964589999999997E-3"/>
    <x v="1"/>
  </r>
  <r>
    <x v="1"/>
    <n v="32"/>
    <n v="32"/>
    <x v="45"/>
    <x v="112"/>
    <n v="1.5520830000000001E-3"/>
    <n v="8"/>
    <n v="8.4177577837339001E-8"/>
    <n v="1.1108797592177601E-5"/>
    <n v="4.8724297920000001"/>
    <n v="7.1964589999999997E-3"/>
    <x v="1"/>
  </r>
  <r>
    <x v="1"/>
    <n v="32"/>
    <n v="32"/>
    <x v="46"/>
    <x v="113"/>
    <n v="1.410917E-3"/>
    <n v="8"/>
    <n v="8.2507792764396505E-8"/>
    <n v="1.1392982513760401E-5"/>
    <n v="4.8724297920000001"/>
    <n v="7.1964589999999997E-3"/>
    <x v="1"/>
  </r>
  <r>
    <x v="1"/>
    <n v="32"/>
    <n v="32"/>
    <x v="47"/>
    <x v="114"/>
    <n v="1.2739170000000001E-3"/>
    <n v="8"/>
    <n v="8.0873400133526705E-8"/>
    <n v="1.16699821528865E-5"/>
    <n v="4.8724297920000001"/>
    <n v="7.1964589999999997E-3"/>
    <x v="1"/>
  </r>
  <r>
    <x v="1"/>
    <n v="32"/>
    <n v="32"/>
    <x v="48"/>
    <x v="115"/>
    <n v="1.364334E-3"/>
    <n v="8"/>
    <n v="7.9302201182760096E-8"/>
    <n v="1.1943906931295299E-5"/>
    <n v="4.8724297920000001"/>
    <n v="7.1964589999999997E-3"/>
    <x v="1"/>
  </r>
  <r>
    <x v="1"/>
    <n v="32"/>
    <n v="32"/>
    <x v="49"/>
    <x v="116"/>
    <n v="1.2977920000000001E-3"/>
    <n v="8"/>
    <n v="7.77877653196725E-8"/>
    <n v="1.22142834417386E-5"/>
    <n v="4.8724297920000001"/>
    <n v="7.1964589999999997E-3"/>
    <x v="1"/>
  </r>
  <r>
    <x v="1"/>
    <n v="32"/>
    <n v="32"/>
    <x v="50"/>
    <x v="117"/>
    <n v="1.3236249999999999E-3"/>
    <n v="7"/>
    <n v="7.6383541202944694E-8"/>
    <n v="1.24903523196688E-5"/>
    <n v="4.8724297920000001"/>
    <n v="7.1964589999999997E-3"/>
    <x v="1"/>
  </r>
  <r>
    <x v="1"/>
    <n v="32"/>
    <n v="32"/>
    <x v="51"/>
    <x v="118"/>
    <n v="1.332583E-3"/>
    <n v="7"/>
    <n v="7.4917118147262302E-8"/>
    <n v="1.2744422724833901E-5"/>
    <n v="4.8724297920000001"/>
    <n v="7.1964589999999997E-3"/>
    <x v="1"/>
  </r>
  <r>
    <x v="1"/>
    <n v="32"/>
    <n v="32"/>
    <x v="52"/>
    <x v="119"/>
    <n v="1.4012079999999999E-3"/>
    <n v="7"/>
    <n v="7.3510816426082199E-8"/>
    <n v="1.2996407257427699E-5"/>
    <n v="4.8724297920000001"/>
    <n v="7.1964589999999997E-3"/>
    <x v="1"/>
  </r>
  <r>
    <x v="1"/>
    <n v="32"/>
    <n v="32"/>
    <x v="53"/>
    <x v="120"/>
    <n v="1.3066670000000001E-3"/>
    <n v="7"/>
    <n v="7.2155830239859395E-8"/>
    <n v="1.32454677917743E-5"/>
    <n v="4.8724297920000001"/>
    <n v="7.1964589999999997E-3"/>
    <x v="1"/>
  </r>
  <r>
    <x v="1"/>
    <n v="32"/>
    <n v="32"/>
    <x v="54"/>
    <x v="121"/>
    <n v="1.3709169999999999E-3"/>
    <n v="7"/>
    <n v="7.0846646188196902E-8"/>
    <n v="1.34912188814691E-5"/>
    <n v="4.8724297920000001"/>
    <n v="7.1964589999999997E-3"/>
    <x v="1"/>
  </r>
  <r>
    <x v="1"/>
    <n v="32"/>
    <n v="32"/>
    <x v="55"/>
    <x v="122"/>
    <n v="1.38025E-3"/>
    <n v="7"/>
    <n v="6.9579393857540404E-8"/>
    <n v="1.3733503883313499E-5"/>
    <n v="4.8724297920000001"/>
    <n v="7.1964589999999997E-3"/>
    <x v="1"/>
  </r>
  <r>
    <x v="1"/>
    <n v="32"/>
    <n v="32"/>
    <x v="56"/>
    <x v="123"/>
    <n v="1.5026670000000001E-3"/>
    <n v="7"/>
    <n v="6.8351117906941194E-8"/>
    <n v="1.39722944981368E-5"/>
    <n v="4.8724297920000001"/>
    <n v="7.1964589999999997E-3"/>
    <x v="1"/>
  </r>
  <r>
    <x v="1"/>
    <n v="32"/>
    <n v="32"/>
    <x v="57"/>
    <x v="124"/>
    <n v="1.7992500000000001E-3"/>
    <n v="7"/>
    <n v="6.7159425474723195E-8"/>
    <n v="1.4207641084602499E-5"/>
    <n v="4.8724297920000001"/>
    <n v="7.1964589999999997E-3"/>
    <x v="1"/>
  </r>
  <r>
    <x v="1"/>
    <n v="32"/>
    <n v="32"/>
    <x v="58"/>
    <x v="125"/>
    <n v="1.3857920000000001E-3"/>
    <n v="7"/>
    <n v="6.6002298762375796E-8"/>
    <n v="1.44396453887247E-5"/>
    <n v="4.8724297920000001"/>
    <n v="7.1964589999999997E-3"/>
    <x v="1"/>
  </r>
  <r>
    <x v="1"/>
    <n v="32"/>
    <n v="32"/>
    <x v="59"/>
    <x v="126"/>
    <n v="1.3550420000000001E-3"/>
    <n v="7"/>
    <n v="6.4877986345210696E-8"/>
    <n v="1.46684439452634E-5"/>
    <n v="4.8724297920000001"/>
    <n v="7.1964589999999997E-3"/>
    <x v="1"/>
  </r>
  <r>
    <x v="1"/>
    <n v="32"/>
    <n v="32"/>
    <x v="60"/>
    <x v="127"/>
    <n v="1.3047499999999999E-3"/>
    <n v="7"/>
    <n v="6.3784934836382802E-8"/>
    <n v="1.48941969221703E-5"/>
    <n v="4.8724297920000001"/>
    <n v="7.1964589999999997E-3"/>
    <x v="1"/>
  </r>
  <r>
    <x v="1"/>
    <n v="32"/>
    <n v="32"/>
    <x v="61"/>
    <x v="128"/>
    <n v="1.362666E-3"/>
    <n v="7"/>
    <n v="6.2721742374274704E-8"/>
    <n v="1.5117079852108999E-5"/>
    <n v="4.8724297920000001"/>
    <n v="7.1964589999999997E-3"/>
    <x v="1"/>
  </r>
  <r>
    <x v="1"/>
    <n v="32"/>
    <n v="32"/>
    <x v="62"/>
    <x v="129"/>
    <n v="1.317917E-3"/>
    <n v="7"/>
    <n v="6.1687123338387503E-8"/>
    <n v="1.53372766383226E-5"/>
    <n v="4.8724297920000001"/>
    <n v="7.1964589999999997E-3"/>
    <x v="1"/>
  </r>
  <r>
    <x v="1"/>
    <n v="32"/>
    <n v="32"/>
    <x v="63"/>
    <x v="130"/>
    <n v="1.370167E-3"/>
    <n v="7"/>
    <n v="6.0789228227094399E-8"/>
    <n v="1.5583004087507002E-5"/>
    <n v="4.8724297920000001"/>
    <n v="7.1964589999999997E-3"/>
    <x v="1"/>
  </r>
  <r>
    <x v="1"/>
    <n v="32"/>
    <n v="32"/>
    <x v="64"/>
    <x v="131"/>
    <n v="1.290125E-3"/>
    <n v="7"/>
    <n v="5.9761170885494102E-8"/>
    <n v="1.5786807071882799E-5"/>
    <n v="4.8724297920000001"/>
    <n v="7.1964589999999997E-3"/>
    <x v="1"/>
  </r>
  <r>
    <x v="1"/>
    <n v="32"/>
    <n v="32"/>
    <x v="65"/>
    <x v="132"/>
    <n v="1.8526669999999999E-3"/>
    <n v="7"/>
    <n v="5.8781147237443299E-8"/>
    <n v="1.5993955794553899E-5"/>
    <n v="4.8724297920000001"/>
    <n v="7.1964589999999997E-3"/>
    <x v="1"/>
  </r>
  <r>
    <x v="1"/>
    <n v="32"/>
    <n v="32"/>
    <x v="66"/>
    <x v="133"/>
    <n v="1.6764589999999999E-3"/>
    <n v="7"/>
    <n v="5.7840223113405703E-8"/>
    <n v="1.6202938959023599E-5"/>
    <n v="4.8724297920000001"/>
    <n v="7.1964589999999997E-3"/>
    <x v="1"/>
  </r>
  <r>
    <x v="1"/>
    <n v="32"/>
    <n v="32"/>
    <x v="67"/>
    <x v="134"/>
    <n v="1.7197499999999999E-3"/>
    <n v="7"/>
    <n v="5.6932019907932802E-8"/>
    <n v="1.64127164042464E-5"/>
    <n v="4.8724297920000001"/>
    <n v="7.1964589999999997E-3"/>
    <x v="1"/>
  </r>
  <r>
    <x v="1"/>
    <n v="32"/>
    <n v="32"/>
    <x v="68"/>
    <x v="135"/>
    <n v="1.3570839999999999E-3"/>
    <n v="7"/>
    <n v="5.6051896171426198E-8"/>
    <n v="1.6622571556668399E-5"/>
    <n v="4.8724297920000001"/>
    <n v="7.1964589999999997E-3"/>
    <x v="1"/>
  </r>
  <r>
    <x v="1"/>
    <n v="32"/>
    <n v="32"/>
    <x v="69"/>
    <x v="136"/>
    <n v="1.3671670000000001E-3"/>
    <n v="7"/>
    <n v="5.5196451152820601E-8"/>
    <n v="1.6832025165238899E-5"/>
    <n v="4.8724297920000001"/>
    <n v="7.1964589999999997E-3"/>
    <x v="1"/>
  </r>
  <r>
    <x v="1"/>
    <n v="32"/>
    <n v="32"/>
    <x v="70"/>
    <x v="137"/>
    <n v="1.447416E-3"/>
    <n v="7"/>
    <n v="5.4363185759058403E-8"/>
    <n v="1.7040776049403101E-5"/>
    <n v="4.8724297920000001"/>
    <n v="7.1964589999999997E-3"/>
    <x v="1"/>
  </r>
  <r>
    <x v="1"/>
    <n v="32"/>
    <n v="32"/>
    <x v="71"/>
    <x v="138"/>
    <n v="1.442083E-3"/>
    <n v="7"/>
    <n v="5.3550255573914497E-8"/>
    <n v="1.7248656169970499E-5"/>
    <n v="4.8724297920000001"/>
    <n v="7.1964589999999997E-3"/>
    <x v="1"/>
  </r>
  <r>
    <x v="1"/>
    <n v="32"/>
    <n v="32"/>
    <x v="72"/>
    <x v="139"/>
    <n v="1.3586659999999999E-3"/>
    <n v="7"/>
    <n v="5.2756286430584498E-8"/>
    <n v="1.7455595100260599E-5"/>
    <n v="4.8724297920000001"/>
    <n v="7.1964589999999997E-3"/>
    <x v="1"/>
  </r>
  <r>
    <x v="1"/>
    <n v="32"/>
    <n v="32"/>
    <x v="73"/>
    <x v="140"/>
    <n v="1.3086249999999999E-3"/>
    <n v="7"/>
    <n v="5.1980236584668703E-8"/>
    <n v="1.7661591764765701E-5"/>
    <n v="4.8724297920000001"/>
    <n v="7.1964589999999997E-3"/>
    <x v="1"/>
  </r>
  <r>
    <x v="1"/>
    <n v="32"/>
    <n v="32"/>
    <x v="74"/>
    <x v="141"/>
    <n v="1.3240000000000001E-3"/>
    <n v="7"/>
    <n v="5.1221294627685401E-8"/>
    <n v="1.7866692132937001E-5"/>
    <n v="4.8724297920000001"/>
    <n v="7.1964589999999997E-3"/>
    <x v="1"/>
  </r>
  <r>
    <x v="1"/>
    <n v="32"/>
    <n v="32"/>
    <x v="75"/>
    <x v="142"/>
    <n v="1.3366249999999999E-3"/>
    <n v="7"/>
    <n v="5.0478805252277003E-8"/>
    <n v="1.8070971972934201E-5"/>
    <n v="4.8724297920000001"/>
    <n v="7.1964589999999997E-3"/>
    <x v="1"/>
  </r>
  <r>
    <x v="1"/>
    <n v="32"/>
    <n v="32"/>
    <x v="76"/>
    <x v="143"/>
    <n v="1.440375E-3"/>
    <n v="7"/>
    <n v="4.9752216367230701E-8"/>
    <n v="1.8274523811168101E-5"/>
    <n v="4.8724297920000001"/>
    <n v="7.1964589999999997E-3"/>
    <x v="1"/>
  </r>
  <r>
    <x v="1"/>
    <n v="32"/>
    <n v="32"/>
    <x v="77"/>
    <x v="144"/>
    <n v="1.3378750000000001E-3"/>
    <n v="7"/>
    <n v="4.90410425283032E-8"/>
    <n v="1.8477447401098299E-5"/>
    <n v="4.8724297920000001"/>
    <n v="7.1964589999999997E-3"/>
    <x v="1"/>
  </r>
  <r>
    <x v="1"/>
    <n v="32"/>
    <n v="32"/>
    <x v="78"/>
    <x v="145"/>
    <n v="1.344834E-3"/>
    <n v="7"/>
    <n v="4.8344840738024097E-8"/>
    <n v="1.8679843114807599E-5"/>
    <n v="4.8724297920000001"/>
    <n v="7.1964589999999997E-3"/>
    <x v="1"/>
  </r>
  <r>
    <x v="1"/>
    <n v="32"/>
    <n v="32"/>
    <x v="79"/>
    <x v="146"/>
    <n v="1.6557919999999999E-3"/>
    <n v="7"/>
    <n v="4.7663195384574498E-8"/>
    <n v="1.8881807707877399E-5"/>
    <n v="4.8724297920000001"/>
    <n v="7.1964589999999997E-3"/>
    <x v="1"/>
  </r>
  <r>
    <x v="1"/>
    <n v="32"/>
    <n v="32"/>
    <x v="80"/>
    <x v="147"/>
    <n v="1.4756249999999999E-3"/>
    <n v="7"/>
    <n v="4.6995709941991497E-8"/>
    <n v="1.9083432046245599E-5"/>
    <n v="4.8724297920000001"/>
    <n v="7.1964589999999997E-3"/>
    <x v="1"/>
  </r>
  <r>
    <x v="1"/>
    <n v="32"/>
    <n v="32"/>
    <x v="81"/>
    <x v="148"/>
    <n v="1.380792E-3"/>
    <n v="7"/>
    <n v="4.63420034351954E-8"/>
    <n v="1.9284800387991199E-5"/>
    <n v="4.8724297920000001"/>
    <n v="7.1964589999999997E-3"/>
    <x v="1"/>
  </r>
  <r>
    <x v="1"/>
    <n v="32"/>
    <n v="32"/>
    <x v="82"/>
    <x v="149"/>
    <n v="1.3422499999999999E-3"/>
    <n v="7"/>
    <n v="4.5701710132548402E-8"/>
    <n v="1.9485990874132E-5"/>
    <n v="4.8724297920000001"/>
    <n v="7.1964589999999997E-3"/>
    <x v="1"/>
  </r>
  <r>
    <x v="1"/>
    <n v="32"/>
    <n v="32"/>
    <x v="83"/>
    <x v="150"/>
    <n v="1.332958E-3"/>
    <n v="7"/>
    <n v="4.5074481008823001E-8"/>
    <n v="1.9687076810949301E-5"/>
    <n v="4.8724297920000001"/>
    <n v="7.1964589999999997E-3"/>
    <x v="1"/>
  </r>
  <r>
    <x v="1"/>
    <n v="32"/>
    <n v="32"/>
    <x v="84"/>
    <x v="151"/>
    <n v="1.340541E-3"/>
    <n v="7"/>
    <n v="4.4459985899335201E-8"/>
    <n v="1.9888128387471498E-5"/>
    <n v="4.8724297920000001"/>
    <n v="7.1964589999999997E-3"/>
    <x v="1"/>
  </r>
  <r>
    <x v="1"/>
    <n v="32"/>
    <n v="32"/>
    <x v="85"/>
    <x v="152"/>
    <n v="1.402875E-3"/>
    <n v="7"/>
    <n v="4.3857915279683798E-8"/>
    <n v="2.0089214394374101E-5"/>
    <n v="4.8724297920000001"/>
    <n v="7.1964589999999997E-3"/>
    <x v="1"/>
  </r>
  <r>
    <x v="1"/>
    <n v="32"/>
    <n v="32"/>
    <x v="86"/>
    <x v="153"/>
    <n v="1.270708E-3"/>
    <n v="7"/>
    <n v="4.3267980977324198E-8"/>
    <n v="2.0290403596147399E-5"/>
    <n v="4.8724297920000001"/>
    <n v="7.1964589999999997E-3"/>
    <x v="1"/>
  </r>
  <r>
    <x v="1"/>
    <n v="32"/>
    <n v="32"/>
    <x v="87"/>
    <x v="154"/>
    <n v="1.3476670000000001E-3"/>
    <n v="7"/>
    <n v="4.26899154069968E-8"/>
    <n v="2.0491765483172401E-5"/>
    <n v="4.8724297920000001"/>
    <n v="7.1964589999999997E-3"/>
    <x v="1"/>
  </r>
  <r>
    <x v="1"/>
    <n v="32"/>
    <n v="32"/>
    <x v="88"/>
    <x v="155"/>
    <n v="1.300708E-3"/>
    <n v="7"/>
    <n v="4.2123469287690598E-8"/>
    <n v="2.06933702687669E-5"/>
    <n v="4.8724297920000001"/>
    <n v="7.1964589999999997E-3"/>
    <x v="1"/>
  </r>
  <r>
    <x v="1"/>
    <n v="32"/>
    <n v="32"/>
    <x v="89"/>
    <x v="156"/>
    <n v="1.7358339999999999E-3"/>
    <n v="7"/>
    <n v="4.1568408211134698E-8"/>
    <n v="2.0895288192828701E-5"/>
    <n v="4.8724297920000001"/>
    <n v="7.1964589999999997E-3"/>
    <x v="1"/>
  </r>
  <r>
    <x v="1"/>
    <n v="32"/>
    <n v="32"/>
    <x v="90"/>
    <x v="157"/>
    <n v="1.5570829999999999E-3"/>
    <n v="7"/>
    <n v="4.1024508630423998E-8"/>
    <n v="2.1097588322793201E-5"/>
    <n v="4.8724297920000001"/>
    <n v="7.1964589999999997E-3"/>
    <x v="1"/>
  </r>
  <r>
    <x v="1"/>
    <n v="32"/>
    <n v="32"/>
    <x v="91"/>
    <x v="158"/>
    <n v="7.8571249999999995E-3"/>
    <n v="7"/>
    <n v="4.0491553883065897E-8"/>
    <n v="2.1300337114401199E-5"/>
    <n v="4.8724297920000001"/>
    <n v="7.1964589999999997E-3"/>
    <x v="1"/>
  </r>
  <r>
    <x v="1"/>
    <n v="32"/>
    <n v="32"/>
    <x v="92"/>
    <x v="159"/>
    <n v="1.3902910000000001E-3"/>
    <n v="7"/>
    <n v="3.9969330830978501E-8"/>
    <n v="2.1503597033324499E-5"/>
    <n v="4.8724297920000001"/>
    <n v="7.1964589999999997E-3"/>
    <x v="1"/>
  </r>
  <r>
    <x v="1"/>
    <n v="32"/>
    <n v="32"/>
    <x v="93"/>
    <x v="160"/>
    <n v="1.4339590000000001E-3"/>
    <n v="7"/>
    <n v="3.9457627415862603E-8"/>
    <n v="2.1707425438917799E-5"/>
    <n v="4.8724297920000001"/>
    <n v="7.1964589999999997E-3"/>
    <x v="1"/>
  </r>
  <r>
    <x v="1"/>
    <n v="32"/>
    <n v="32"/>
    <x v="94"/>
    <x v="161"/>
    <n v="1.3393750000000001E-3"/>
    <n v="7"/>
    <n v="3.8956231158791003E-8"/>
    <n v="2.1911873812146901E-5"/>
    <n v="4.8724297920000001"/>
    <n v="7.1964589999999997E-3"/>
    <x v="1"/>
  </r>
  <r>
    <x v="1"/>
    <n v="32"/>
    <n v="32"/>
    <x v="95"/>
    <x v="162"/>
    <n v="1.332125E-3"/>
    <n v="7"/>
    <n v="3.84649285339643E-8"/>
    <n v="2.2116987360412099E-5"/>
    <n v="4.8724297920000001"/>
    <n v="7.1964589999999997E-3"/>
    <x v="1"/>
  </r>
  <r>
    <x v="1"/>
    <n v="32"/>
    <n v="32"/>
    <x v="96"/>
    <x v="163"/>
    <n v="1.3576669999999999E-3"/>
    <n v="7"/>
    <n v="3.7983504926302001E-8"/>
    <n v="2.2322804900334701E-5"/>
    <n v="4.8724297920000001"/>
    <n v="7.1964589999999997E-3"/>
    <x v="1"/>
  </r>
  <r>
    <x v="1"/>
    <n v="32"/>
    <n v="32"/>
    <x v="97"/>
    <x v="164"/>
    <n v="1.3758329999999999E-3"/>
    <n v="7"/>
    <n v="3.7511744958711399E-8"/>
    <n v="2.2529358940043399E-5"/>
    <n v="4.8724297920000001"/>
    <n v="7.1964589999999997E-3"/>
    <x v="1"/>
  </r>
  <r>
    <x v="1"/>
    <n v="32"/>
    <n v="32"/>
    <x v="98"/>
    <x v="165"/>
    <n v="1.8069589999999999E-3"/>
    <n v="7"/>
    <n v="3.7049432930849003E-8"/>
    <n v="2.2736675836270699E-5"/>
    <n v="4.8724297920000001"/>
    <n v="7.1964589999999997E-3"/>
    <x v="1"/>
  </r>
  <r>
    <x v="1"/>
    <n v="32"/>
    <n v="32"/>
    <x v="99"/>
    <x v="166"/>
    <n v="1.541541E-3"/>
    <n v="7"/>
    <n v="3.6596353283236703E-8"/>
    <n v="2.2944775984100401E-5"/>
    <n v="4.8724297920000001"/>
    <n v="7.1964589999999997E-3"/>
    <x v="1"/>
  </r>
  <r>
    <x v="2"/>
    <n v="64"/>
    <n v="64"/>
    <x v="0"/>
    <x v="167"/>
    <n v="1.353E-3"/>
    <n v="6"/>
    <n v="7.3628199500698801E-14"/>
    <n v="9.0672094481390599E-15"/>
    <n v="5.2271198329999997"/>
    <n v="2.5712875E-2"/>
    <x v="2"/>
  </r>
  <r>
    <x v="2"/>
    <n v="64"/>
    <n v="64"/>
    <x v="1"/>
    <x v="168"/>
    <n v="2.0032499999999998E-3"/>
    <n v="10"/>
    <n v="4.2250329011957302E-14"/>
    <n v="1.47032016662836E-14"/>
    <n v="5.2271198329999997"/>
    <n v="2.5712875E-2"/>
    <x v="2"/>
  </r>
  <r>
    <x v="2"/>
    <n v="64"/>
    <n v="64"/>
    <x v="2"/>
    <x v="169"/>
    <n v="1.838917E-3"/>
    <n v="14"/>
    <n v="2.41821770085397E-14"/>
    <n v="1.6878013178497899E-14"/>
    <n v="5.2271198329999997"/>
    <n v="2.5712875E-2"/>
    <x v="2"/>
  </r>
  <r>
    <x v="2"/>
    <n v="64"/>
    <n v="64"/>
    <x v="3"/>
    <x v="170"/>
    <n v="2.076208E-3"/>
    <n v="14"/>
    <n v="9.5857453775273603E-7"/>
    <n v="1.10948099675193E-6"/>
    <n v="5.2271198329999997"/>
    <n v="2.5712875E-2"/>
    <x v="2"/>
  </r>
  <r>
    <x v="2"/>
    <n v="64"/>
    <n v="64"/>
    <x v="4"/>
    <x v="171"/>
    <n v="1.9815420000000002E-3"/>
    <n v="15"/>
    <n v="8.5233096403353198E-7"/>
    <n v="1.4442544458445801E-6"/>
    <n v="5.2271198329999997"/>
    <n v="2.5712875E-2"/>
    <x v="2"/>
  </r>
  <r>
    <x v="2"/>
    <n v="64"/>
    <n v="64"/>
    <x v="5"/>
    <x v="172"/>
    <n v="2.0699999999999998E-3"/>
    <n v="15"/>
    <n v="8.3573349312645699E-7"/>
    <n v="1.8738111228128099E-6"/>
    <n v="5.2271198329999997"/>
    <n v="2.5712875E-2"/>
    <x v="2"/>
  </r>
  <r>
    <x v="2"/>
    <n v="64"/>
    <n v="64"/>
    <x v="6"/>
    <x v="173"/>
    <n v="1.9469579999999999E-3"/>
    <n v="15"/>
    <n v="9.3829244907702103E-7"/>
    <n v="2.5906375337854298E-6"/>
    <n v="5.2271198329999997"/>
    <n v="2.5712875E-2"/>
    <x v="2"/>
  </r>
  <r>
    <x v="2"/>
    <n v="64"/>
    <n v="64"/>
    <x v="7"/>
    <x v="174"/>
    <n v="2.137875E-3"/>
    <n v="15"/>
    <n v="8.38910780686294E-7"/>
    <n v="2.7326685765724698E-6"/>
    <n v="5.2271198329999997"/>
    <n v="2.5712875E-2"/>
    <x v="2"/>
  </r>
  <r>
    <x v="2"/>
    <n v="64"/>
    <n v="64"/>
    <x v="8"/>
    <x v="175"/>
    <n v="2.0777500000000002E-3"/>
    <n v="15"/>
    <n v="7.4370924597332497E-7"/>
    <n v="2.7922551832782898E-6"/>
    <n v="5.2271198329999997"/>
    <n v="2.5712875E-2"/>
    <x v="2"/>
  </r>
  <r>
    <x v="2"/>
    <n v="64"/>
    <n v="64"/>
    <x v="9"/>
    <x v="176"/>
    <n v="2.2622499999999999E-3"/>
    <n v="15"/>
    <n v="6.3821818651968001E-7"/>
    <n v="2.72709296508711E-6"/>
    <n v="5.2271198329999997"/>
    <n v="2.5712875E-2"/>
    <x v="2"/>
  </r>
  <r>
    <x v="2"/>
    <n v="64"/>
    <n v="64"/>
    <x v="10"/>
    <x v="177"/>
    <n v="2.0131670000000002E-3"/>
    <n v="15"/>
    <n v="6.1343074666422202E-7"/>
    <n v="2.9612845642973198E-6"/>
    <n v="5.2271198329999997"/>
    <n v="2.5712875E-2"/>
    <x v="2"/>
  </r>
  <r>
    <x v="2"/>
    <n v="64"/>
    <n v="64"/>
    <x v="11"/>
    <x v="178"/>
    <n v="2.0149579999999999E-3"/>
    <n v="15"/>
    <n v="5.2933699199518705E-7"/>
    <n v="2.87324288164612E-6"/>
    <n v="5.2271198329999997"/>
    <n v="2.5712875E-2"/>
    <x v="2"/>
  </r>
  <r>
    <x v="2"/>
    <n v="64"/>
    <n v="64"/>
    <x v="12"/>
    <x v="179"/>
    <n v="1.9130410000000001E-3"/>
    <n v="15"/>
    <n v="4.8210156897237199E-7"/>
    <n v="2.9323833088304799E-6"/>
    <n v="5.2271198329999997"/>
    <n v="2.5712875E-2"/>
    <x v="2"/>
  </r>
  <r>
    <x v="2"/>
    <n v="64"/>
    <n v="64"/>
    <x v="13"/>
    <x v="180"/>
    <n v="2.296125E-3"/>
    <n v="14"/>
    <n v="4.8277560029007603E-7"/>
    <n v="3.2816335105626601E-6"/>
    <n v="5.2271198329999997"/>
    <n v="2.5712875E-2"/>
    <x v="2"/>
  </r>
  <r>
    <x v="2"/>
    <n v="64"/>
    <n v="64"/>
    <x v="14"/>
    <x v="181"/>
    <n v="2.0568330000000001E-3"/>
    <n v="14"/>
    <n v="4.3750925185669102E-7"/>
    <n v="3.31575924971905E-6"/>
    <n v="5.2271198329999997"/>
    <n v="2.5712875E-2"/>
    <x v="2"/>
  </r>
  <r>
    <x v="2"/>
    <n v="64"/>
    <n v="64"/>
    <x v="15"/>
    <x v="182"/>
    <n v="1.9910420000000002E-3"/>
    <n v="14"/>
    <n v="4.0597708558776199E-7"/>
    <n v="3.4232015011730699E-6"/>
    <n v="5.2271198329999997"/>
    <n v="2.5712875E-2"/>
    <x v="2"/>
  </r>
  <r>
    <x v="2"/>
    <n v="64"/>
    <n v="64"/>
    <x v="16"/>
    <x v="183"/>
    <n v="2.1849999999999999E-3"/>
    <n v="14"/>
    <n v="3.8437571726999798E-7"/>
    <n v="3.59882939814711E-6"/>
    <n v="5.2271198329999997"/>
    <n v="2.5712875E-2"/>
    <x v="2"/>
  </r>
  <r>
    <x v="2"/>
    <n v="64"/>
    <n v="64"/>
    <x v="17"/>
    <x v="184"/>
    <n v="1.9751249999999999E-3"/>
    <n v="14"/>
    <n v="3.6779708969067E-7"/>
    <n v="3.8164322354526304E-6"/>
    <n v="5.2271198329999997"/>
    <n v="2.5712875E-2"/>
    <x v="2"/>
  </r>
  <r>
    <x v="2"/>
    <n v="64"/>
    <n v="64"/>
    <x v="18"/>
    <x v="185"/>
    <n v="1.9711659999999999E-3"/>
    <n v="14"/>
    <n v="3.5393864510814198E-7"/>
    <n v="4.0626146216118596E-6"/>
    <n v="5.2271198329999997"/>
    <n v="2.5712875E-2"/>
    <x v="2"/>
  </r>
  <r>
    <x v="2"/>
    <n v="64"/>
    <n v="64"/>
    <x v="19"/>
    <x v="186"/>
    <n v="1.1969458000000001E-2"/>
    <n v="13"/>
    <n v="3.6386440769326399E-7"/>
    <n v="4.6114200659386301E-6"/>
    <n v="5.2271198329999997"/>
    <n v="2.5712875E-2"/>
    <x v="2"/>
  </r>
  <r>
    <x v="2"/>
    <n v="64"/>
    <n v="64"/>
    <x v="20"/>
    <x v="187"/>
    <n v="2.081959E-3"/>
    <n v="12"/>
    <n v="3.4666121320236699E-7"/>
    <n v="4.8417773784473696E-6"/>
    <n v="5.2271198329999997"/>
    <n v="2.5712875E-2"/>
    <x v="2"/>
  </r>
  <r>
    <x v="2"/>
    <n v="64"/>
    <n v="64"/>
    <x v="21"/>
    <x v="188"/>
    <n v="1.8830419999999999E-3"/>
    <n v="12"/>
    <n v="3.2958013123974697E-7"/>
    <n v="5.0634378727765198E-6"/>
    <n v="5.2271198329999997"/>
    <n v="2.5712875E-2"/>
    <x v="2"/>
  </r>
  <r>
    <x v="2"/>
    <n v="64"/>
    <n v="64"/>
    <x v="22"/>
    <x v="189"/>
    <n v="1.8372079999999999E-3"/>
    <n v="12"/>
    <n v="3.1701538262742599E-7"/>
    <n v="5.3471308198341497E-6"/>
    <n v="5.2271198329999997"/>
    <n v="2.5712875E-2"/>
    <x v="2"/>
  </r>
  <r>
    <x v="2"/>
    <n v="64"/>
    <n v="64"/>
    <x v="23"/>
    <x v="190"/>
    <n v="1.8732079999999999E-3"/>
    <n v="12"/>
    <n v="3.06786398663349E-7"/>
    <n v="5.6701274797486496E-6"/>
    <n v="5.2271198329999997"/>
    <n v="2.5712875E-2"/>
    <x v="2"/>
  </r>
  <r>
    <x v="2"/>
    <n v="64"/>
    <n v="64"/>
    <x v="24"/>
    <x v="191"/>
    <n v="1.8413749999999999E-3"/>
    <n v="12"/>
    <n v="2.9796054711221898E-7"/>
    <n v="6.0225515764537999E-6"/>
    <n v="5.2271198329999997"/>
    <n v="2.5712875E-2"/>
    <x v="2"/>
  </r>
  <r>
    <x v="2"/>
    <n v="64"/>
    <n v="64"/>
    <x v="25"/>
    <x v="192"/>
    <n v="1.891792E-3"/>
    <n v="12"/>
    <n v="2.9006742645853899E-7"/>
    <n v="6.39916521517321E-6"/>
    <n v="5.2271198329999997"/>
    <n v="2.5712875E-2"/>
    <x v="2"/>
  </r>
  <r>
    <x v="2"/>
    <n v="64"/>
    <n v="64"/>
    <x v="26"/>
    <x v="193"/>
    <n v="1.0265625E-2"/>
    <n v="12"/>
    <n v="2.8283471437988702E-7"/>
    <n v="6.7965233334203798E-6"/>
    <n v="5.2271198329999997"/>
    <n v="2.5712875E-2"/>
    <x v="2"/>
  </r>
  <r>
    <x v="2"/>
    <n v="64"/>
    <n v="64"/>
    <x v="27"/>
    <x v="194"/>
    <n v="1.9405E-3"/>
    <n v="11"/>
    <n v="2.7770598399321898E-7"/>
    <n v="7.2541603088001102E-6"/>
    <n v="5.2271198329999997"/>
    <n v="2.5712875E-2"/>
    <x v="2"/>
  </r>
  <r>
    <x v="2"/>
    <n v="64"/>
    <n v="64"/>
    <x v="28"/>
    <x v="195"/>
    <n v="1.885292E-3"/>
    <n v="11"/>
    <n v="2.7041592652052102E-7"/>
    <n v="7.6628927396564801E-6"/>
    <n v="5.2271198329999997"/>
    <n v="2.5712875E-2"/>
    <x v="2"/>
  </r>
  <r>
    <x v="2"/>
    <n v="64"/>
    <n v="64"/>
    <x v="29"/>
    <x v="196"/>
    <n v="1.8942500000000001E-3"/>
    <n v="11"/>
    <n v="2.64009941333854E-7"/>
    <n v="8.0992509895601002E-6"/>
    <n v="5.2271198329999997"/>
    <n v="2.5712875E-2"/>
    <x v="2"/>
  </r>
  <r>
    <x v="2"/>
    <n v="64"/>
    <n v="64"/>
    <x v="30"/>
    <x v="197"/>
    <n v="1.8931250000000001E-3"/>
    <n v="11"/>
    <n v="2.5814620104630099E-7"/>
    <n v="8.5557294312294602E-6"/>
    <n v="5.2271198329999997"/>
    <n v="2.5712875E-2"/>
    <x v="2"/>
  </r>
  <r>
    <x v="2"/>
    <n v="64"/>
    <n v="64"/>
    <x v="31"/>
    <x v="198"/>
    <n v="1.8590830000000001E-3"/>
    <n v="10"/>
    <n v="2.5496971986293599E-7"/>
    <n v="9.1106399028683093E-6"/>
    <n v="5.2271198329999997"/>
    <n v="2.5712875E-2"/>
    <x v="2"/>
  </r>
  <r>
    <x v="2"/>
    <n v="64"/>
    <n v="64"/>
    <x v="32"/>
    <x v="199"/>
    <n v="2.172916E-3"/>
    <n v="10"/>
    <n v="2.4974331253841301E-7"/>
    <n v="9.6012460051529093E-6"/>
    <n v="5.2271198329999997"/>
    <n v="2.5712875E-2"/>
    <x v="2"/>
  </r>
  <r>
    <x v="2"/>
    <n v="64"/>
    <n v="64"/>
    <x v="33"/>
    <x v="200"/>
    <n v="1.8873749999999999E-3"/>
    <n v="10"/>
    <n v="2.43799399686351E-7"/>
    <n v="1.00635038096937E-5"/>
    <n v="5.2271198329999997"/>
    <n v="2.5712875E-2"/>
    <x v="2"/>
  </r>
  <r>
    <x v="2"/>
    <n v="64"/>
    <n v="64"/>
    <x v="34"/>
    <x v="201"/>
    <n v="1.904708E-3"/>
    <n v="10"/>
    <n v="2.38303410875378E-7"/>
    <n v="1.0540147315841499E-5"/>
    <n v="5.2271198329999997"/>
    <n v="2.5712875E-2"/>
    <x v="2"/>
  </r>
  <r>
    <x v="2"/>
    <n v="64"/>
    <n v="64"/>
    <x v="35"/>
    <x v="202"/>
    <n v="1.893792E-3"/>
    <n v="10"/>
    <n v="2.33155254908807E-7"/>
    <n v="1.1027794300911001E-5"/>
    <n v="5.2271198329999997"/>
    <n v="2.5712875E-2"/>
    <x v="2"/>
  </r>
  <r>
    <x v="2"/>
    <n v="64"/>
    <n v="64"/>
    <x v="36"/>
    <x v="203"/>
    <n v="1.8675E-3"/>
    <n v="10"/>
    <n v="2.2828818745169599E-7"/>
    <n v="1.1523749799737501E-5"/>
    <n v="5.2271198329999997"/>
    <n v="2.5712875E-2"/>
    <x v="2"/>
  </r>
  <r>
    <x v="2"/>
    <n v="64"/>
    <n v="64"/>
    <x v="37"/>
    <x v="204"/>
    <n v="8.7067080000000005E-3"/>
    <n v="10"/>
    <n v="2.2365471068108501E-7"/>
    <n v="1.2025699991683099E-5"/>
    <n v="5.2271198329999997"/>
    <n v="2.5712875E-2"/>
    <x v="2"/>
  </r>
  <r>
    <x v="2"/>
    <n v="64"/>
    <n v="64"/>
    <x v="38"/>
    <x v="205"/>
    <n v="1.9477089999999999E-3"/>
    <n v="10"/>
    <n v="2.1922044278139601E-7"/>
    <n v="1.2531631337100001E-5"/>
    <n v="5.2271198329999997"/>
    <n v="2.5712875E-2"/>
    <x v="2"/>
  </r>
  <r>
    <x v="2"/>
    <n v="64"/>
    <n v="64"/>
    <x v="39"/>
    <x v="206"/>
    <n v="1.8239160000000001E-3"/>
    <n v="10"/>
    <n v="2.1496014720022201E-7"/>
    <n v="1.30397836092251E-5"/>
    <n v="5.2271198329999997"/>
    <n v="2.5712875E-2"/>
    <x v="2"/>
  </r>
  <r>
    <x v="2"/>
    <n v="64"/>
    <n v="64"/>
    <x v="40"/>
    <x v="207"/>
    <n v="1.841875E-3"/>
    <n v="10"/>
    <n v="2.10854963632268E-7"/>
    <n v="1.35486145710404E-5"/>
    <n v="5.2271198329999997"/>
    <n v="2.5712875E-2"/>
    <x v="2"/>
  </r>
  <r>
    <x v="2"/>
    <n v="64"/>
    <n v="64"/>
    <x v="41"/>
    <x v="208"/>
    <n v="3.1282079999999999E-3"/>
    <n v="10"/>
    <n v="2.06890482981462E-7"/>
    <n v="1.4056773412481899E-5"/>
    <n v="5.2271198329999997"/>
    <n v="2.5712875E-2"/>
    <x v="2"/>
  </r>
  <r>
    <x v="2"/>
    <n v="64"/>
    <n v="64"/>
    <x v="42"/>
    <x v="209"/>
    <n v="1.8723329999999999E-3"/>
    <n v="10"/>
    <n v="2.03055415926175E-7"/>
    <n v="1.4563080814881901E-5"/>
    <n v="5.2271198329999997"/>
    <n v="2.5712875E-2"/>
    <x v="2"/>
  </r>
  <r>
    <x v="2"/>
    <n v="64"/>
    <n v="64"/>
    <x v="43"/>
    <x v="210"/>
    <n v="1.828959E-3"/>
    <n v="10"/>
    <n v="1.9934067303214301E-7"/>
    <n v="1.50665136048703E-5"/>
    <n v="5.2271198329999997"/>
    <n v="2.5712875E-2"/>
    <x v="2"/>
  </r>
  <r>
    <x v="2"/>
    <n v="64"/>
    <n v="64"/>
    <x v="44"/>
    <x v="211"/>
    <n v="1.8797499999999999E-3"/>
    <n v="10"/>
    <n v="1.9573872967294899E-7"/>
    <n v="1.5566192455620501E-5"/>
    <n v="5.2271198329999997"/>
    <n v="2.5712875E-2"/>
    <x v="2"/>
  </r>
  <r>
    <x v="2"/>
    <n v="64"/>
    <n v="64"/>
    <x v="45"/>
    <x v="212"/>
    <n v="1.951541E-3"/>
    <n v="10"/>
    <n v="1.9224318841216301E-7"/>
    <n v="1.6061371559319198E-5"/>
    <n v="5.2271198329999997"/>
    <n v="2.5712875E-2"/>
    <x v="2"/>
  </r>
  <r>
    <x v="2"/>
    <n v="64"/>
    <n v="64"/>
    <x v="46"/>
    <x v="213"/>
    <n v="1.9255419999999999E-3"/>
    <n v="10"/>
    <n v="1.8884847888898801E-7"/>
    <n v="1.6551429581172498E-5"/>
    <n v="5.2271198329999997"/>
    <n v="2.5712875E-2"/>
    <x v="2"/>
  </r>
  <r>
    <x v="2"/>
    <n v="64"/>
    <n v="64"/>
    <x v="47"/>
    <x v="214"/>
    <n v="2.0227919999999998E-3"/>
    <n v="10"/>
    <n v="1.85549653094938E-7"/>
    <n v="1.7035861417033399E-5"/>
    <n v="5.2271198329999997"/>
    <n v="2.5712875E-2"/>
    <x v="2"/>
  </r>
  <r>
    <x v="2"/>
    <n v="64"/>
    <n v="64"/>
    <x v="48"/>
    <x v="215"/>
    <n v="9.6554580000000004E-3"/>
    <n v="10"/>
    <n v="1.8250725121672099E-7"/>
    <n v="1.7530119413095101E-5"/>
    <n v="5.2271198329999997"/>
    <n v="2.5712875E-2"/>
    <x v="2"/>
  </r>
  <r>
    <x v="2"/>
    <n v="64"/>
    <n v="64"/>
    <x v="49"/>
    <x v="216"/>
    <n v="1.7946660000000001E-3"/>
    <n v="10"/>
    <n v="1.7931035463957999E-7"/>
    <n v="1.7995209636527199E-5"/>
    <n v="5.2271198329999997"/>
    <n v="2.5712875E-2"/>
    <x v="2"/>
  </r>
  <r>
    <x v="2"/>
    <n v="64"/>
    <n v="64"/>
    <x v="50"/>
    <x v="217"/>
    <n v="2.6570830000000002E-3"/>
    <n v="10"/>
    <n v="1.7621497191554401E-7"/>
    <n v="1.8454995118221102E-5"/>
    <n v="5.2271198329999997"/>
    <n v="2.5712875E-2"/>
    <x v="2"/>
  </r>
  <r>
    <x v="2"/>
    <n v="64"/>
    <n v="64"/>
    <x v="51"/>
    <x v="218"/>
    <n v="1.917083E-3"/>
    <n v="10"/>
    <n v="1.7321226149321201E-7"/>
    <n v="1.8908997013371099E-5"/>
    <n v="5.2271198329999997"/>
    <n v="2.5712875E-2"/>
    <x v="2"/>
  </r>
  <r>
    <x v="2"/>
    <n v="64"/>
    <n v="64"/>
    <x v="52"/>
    <x v="219"/>
    <n v="1.823292E-3"/>
    <n v="10"/>
    <n v="1.70714884934145E-7"/>
    <n v="1.9404608469629299E-5"/>
    <n v="5.2271198329999997"/>
    <n v="2.5712875E-2"/>
    <x v="2"/>
  </r>
  <r>
    <x v="2"/>
    <n v="64"/>
    <n v="64"/>
    <x v="53"/>
    <x v="220"/>
    <n v="1.8342090000000001E-3"/>
    <n v="10"/>
    <n v="1.6779072335597301E-7"/>
    <n v="1.9837870135396699E-5"/>
    <n v="5.2271198329999997"/>
    <n v="2.5712875E-2"/>
    <x v="2"/>
  </r>
  <r>
    <x v="2"/>
    <n v="64"/>
    <n v="64"/>
    <x v="54"/>
    <x v="221"/>
    <n v="1.8090000000000001E-3"/>
    <n v="10"/>
    <n v="1.6496996436644099E-7"/>
    <n v="2.0267483754525202E-5"/>
    <n v="5.2271198329999997"/>
    <n v="2.5712875E-2"/>
    <x v="2"/>
  </r>
  <r>
    <x v="2"/>
    <n v="64"/>
    <n v="64"/>
    <x v="55"/>
    <x v="222"/>
    <n v="1.75825E-3"/>
    <n v="9"/>
    <n v="1.62413777403433E-7"/>
    <n v="2.0714924925285899E-5"/>
    <n v="5.2271198329999997"/>
    <n v="2.5712875E-2"/>
    <x v="2"/>
  </r>
  <r>
    <x v="2"/>
    <n v="64"/>
    <n v="64"/>
    <x v="56"/>
    <x v="223"/>
    <n v="1.8096659999999999E-3"/>
    <n v="9"/>
    <n v="1.5972920935500999E-7"/>
    <n v="2.1131512911449198E-5"/>
    <n v="5.2271198329999997"/>
    <n v="2.5712875E-2"/>
    <x v="2"/>
  </r>
  <r>
    <x v="2"/>
    <n v="64"/>
    <n v="64"/>
    <x v="57"/>
    <x v="224"/>
    <n v="1.818E-3"/>
    <n v="9"/>
    <n v="1.57130326304689E-7"/>
    <n v="2.15443698152587E-5"/>
    <n v="5.2271198329999997"/>
    <n v="2.5712875E-2"/>
    <x v="2"/>
  </r>
  <r>
    <x v="2"/>
    <n v="64"/>
    <n v="64"/>
    <x v="58"/>
    <x v="225"/>
    <n v="1.7368749999999999E-3"/>
    <n v="9"/>
    <n v="1.5460777139862701E-7"/>
    <n v="2.1953057049857902E-5"/>
    <n v="5.2271198329999997"/>
    <n v="2.5712875E-2"/>
    <x v="2"/>
  </r>
  <r>
    <x v="2"/>
    <n v="64"/>
    <n v="64"/>
    <x v="59"/>
    <x v="226"/>
    <n v="1.910667E-3"/>
    <n v="9"/>
    <n v="1.5215459604617099E-7"/>
    <n v="2.23573654568049E-5"/>
    <n v="5.2271198329999997"/>
    <n v="2.5712875E-2"/>
    <x v="2"/>
  </r>
  <r>
    <x v="2"/>
    <n v="64"/>
    <n v="64"/>
    <x v="60"/>
    <x v="227"/>
    <n v="1.7655419999999999E-3"/>
    <n v="9"/>
    <n v="1.4976547507127199E-7"/>
    <n v="2.2757244358030601E-5"/>
    <n v="5.2271198329999997"/>
    <n v="2.5712875E-2"/>
    <x v="2"/>
  </r>
  <r>
    <x v="2"/>
    <n v="64"/>
    <n v="64"/>
    <x v="61"/>
    <x v="228"/>
    <n v="1.781625E-3"/>
    <n v="9"/>
    <n v="1.4743632203141301E-7"/>
    <n v="2.3152772407964301E-5"/>
    <n v="5.2271198329999997"/>
    <n v="2.5712875E-2"/>
    <x v="2"/>
  </r>
  <r>
    <x v="2"/>
    <n v="64"/>
    <n v="64"/>
    <x v="62"/>
    <x v="229"/>
    <n v="1.9949590000000001E-3"/>
    <n v="9"/>
    <n v="1.4516404309964801E-7"/>
    <n v="2.3544141183441599E-5"/>
    <n v="5.2271198329999997"/>
    <n v="2.5712875E-2"/>
    <x v="2"/>
  </r>
  <r>
    <x v="2"/>
    <n v="64"/>
    <n v="64"/>
    <x v="63"/>
    <x v="230"/>
    <n v="1.814333E-3"/>
    <n v="9"/>
    <n v="1.42946290411203E-7"/>
    <n v="2.3931632770071998E-5"/>
    <n v="5.2271198329999997"/>
    <n v="2.5712875E-2"/>
    <x v="2"/>
  </r>
  <r>
    <x v="2"/>
    <n v="64"/>
    <n v="64"/>
    <x v="64"/>
    <x v="231"/>
    <n v="1.811291E-3"/>
    <n v="9"/>
    <n v="1.40781203675847E-7"/>
    <n v="2.43155890496535E-5"/>
    <n v="5.2271198329999997"/>
    <n v="2.5712875E-2"/>
    <x v="2"/>
  </r>
  <r>
    <x v="2"/>
    <n v="64"/>
    <n v="64"/>
    <x v="65"/>
    <x v="232"/>
    <n v="1.828166E-3"/>
    <n v="9"/>
    <n v="1.3866719507561201E-7"/>
    <n v="2.4696381678062001E-5"/>
    <n v="5.2271198329999997"/>
    <n v="2.5712875E-2"/>
    <x v="2"/>
  </r>
  <r>
    <x v="2"/>
    <n v="64"/>
    <n v="64"/>
    <x v="66"/>
    <x v="233"/>
    <n v="1.918625E-3"/>
    <n v="9"/>
    <n v="1.3660280831932699E-7"/>
    <n v="2.50743896581958E-5"/>
    <n v="5.2271198329999997"/>
    <n v="2.5712875E-2"/>
    <x v="2"/>
  </r>
  <r>
    <x v="2"/>
    <n v="64"/>
    <n v="64"/>
    <x v="67"/>
    <x v="234"/>
    <n v="1.7780420000000001E-3"/>
    <n v="9"/>
    <n v="1.34586634637399E-7"/>
    <n v="2.5449983753979899E-5"/>
    <n v="5.2271198329999997"/>
    <n v="2.5712875E-2"/>
    <x v="2"/>
  </r>
  <r>
    <x v="2"/>
    <n v="64"/>
    <n v="64"/>
    <x v="68"/>
    <x v="235"/>
    <n v="2.9082919999999998E-3"/>
    <n v="8"/>
    <n v="1.32709866981717E-7"/>
    <n v="2.58415473362629E-5"/>
    <n v="5.2271198329999997"/>
    <n v="2.5712875E-2"/>
    <x v="2"/>
  </r>
  <r>
    <x v="2"/>
    <n v="64"/>
    <n v="64"/>
    <x v="69"/>
    <x v="236"/>
    <n v="1.7815000000000001E-3"/>
    <n v="8"/>
    <n v="1.3076035978604699E-7"/>
    <n v="2.6208758665429701E-5"/>
    <n v="5.2271198329999997"/>
    <n v="2.5712875E-2"/>
    <x v="2"/>
  </r>
  <r>
    <x v="2"/>
    <n v="64"/>
    <n v="64"/>
    <x v="70"/>
    <x v="237"/>
    <n v="1.8370839999999999E-3"/>
    <n v="8"/>
    <n v="1.28863424215556E-7"/>
    <n v="2.6576027478421202E-5"/>
    <n v="5.2271198329999997"/>
    <n v="2.5712875E-2"/>
    <x v="2"/>
  </r>
  <r>
    <x v="2"/>
    <n v="64"/>
    <n v="64"/>
    <x v="71"/>
    <x v="238"/>
    <n v="1.8448329999999999E-3"/>
    <n v="8"/>
    <n v="1.2701388017433499E-7"/>
    <n v="2.6942980042994699E-5"/>
    <n v="5.2271198329999997"/>
    <n v="2.5712875E-2"/>
    <x v="2"/>
  </r>
  <r>
    <x v="2"/>
    <n v="64"/>
    <n v="64"/>
    <x v="72"/>
    <x v="239"/>
    <n v="1.7755410000000001E-3"/>
    <n v="8"/>
    <n v="1.2520838864234799E-7"/>
    <n v="2.7309531398119802E-5"/>
    <n v="5.2271198329999997"/>
    <n v="2.5712875E-2"/>
    <x v="2"/>
  </r>
  <r>
    <x v="2"/>
    <n v="64"/>
    <n v="64"/>
    <x v="73"/>
    <x v="240"/>
    <n v="1.7752499999999999E-3"/>
    <n v="8"/>
    <n v="1.23444541273051E-7"/>
    <n v="2.7675732365633299E-5"/>
    <n v="5.2271198329999997"/>
    <n v="2.5712875E-2"/>
    <x v="2"/>
  </r>
  <r>
    <x v="2"/>
    <n v="64"/>
    <n v="64"/>
    <x v="74"/>
    <x v="241"/>
    <n v="1.995583E-3"/>
    <n v="8"/>
    <n v="1.2172045188045099E-7"/>
    <n v="2.80417011232862E-5"/>
    <n v="5.2271198329999997"/>
    <n v="2.5712875E-2"/>
    <x v="2"/>
  </r>
  <r>
    <x v="2"/>
    <n v="64"/>
    <n v="64"/>
    <x v="75"/>
    <x v="242"/>
    <n v="1.8275419999999999E-3"/>
    <n v="8"/>
    <n v="1.2003455500894999E-7"/>
    <n v="2.8407589832181599E-5"/>
    <n v="5.2271198329999997"/>
    <n v="2.5712875E-2"/>
    <x v="2"/>
  </r>
  <r>
    <x v="2"/>
    <n v="64"/>
    <n v="64"/>
    <x v="76"/>
    <x v="243"/>
    <n v="1.852708E-3"/>
    <n v="8"/>
    <n v="1.18385495813961E-7"/>
    <n v="2.8773566599741199E-5"/>
    <n v="5.2271198329999997"/>
    <n v="2.5712875E-2"/>
    <x v="2"/>
  </r>
  <r>
    <x v="2"/>
    <n v="64"/>
    <n v="64"/>
    <x v="77"/>
    <x v="244"/>
    <n v="1.8000830000000001E-3"/>
    <n v="8"/>
    <n v="1.16772065061296E-7"/>
    <n v="2.9139804971745199E-5"/>
    <n v="5.2271198329999997"/>
    <n v="2.5712875E-2"/>
    <x v="2"/>
  </r>
  <r>
    <x v="2"/>
    <n v="64"/>
    <n v="64"/>
    <x v="78"/>
    <x v="245"/>
    <n v="1.7415E-3"/>
    <n v="8"/>
    <n v="1.15193159271789E-7"/>
    <n v="2.9506477676211199E-5"/>
    <n v="5.2271198329999997"/>
    <n v="2.5712875E-2"/>
    <x v="2"/>
  </r>
  <r>
    <x v="2"/>
    <n v="64"/>
    <n v="64"/>
    <x v="79"/>
    <x v="246"/>
    <n v="1.790708E-3"/>
    <n v="8"/>
    <n v="1.13647755541395E-7"/>
    <n v="2.9873752895342001E-5"/>
    <n v="5.2271198329999997"/>
    <n v="2.5712875E-2"/>
    <x v="2"/>
  </r>
  <r>
    <x v="2"/>
    <n v="64"/>
    <n v="64"/>
    <x v="80"/>
    <x v="247"/>
    <n v="1.7598329999999999E-3"/>
    <n v="8"/>
    <n v="1.12134895331412E-7"/>
    <n v="3.0241792128415399E-5"/>
    <n v="5.2271198329999997"/>
    <n v="2.5712875E-2"/>
    <x v="2"/>
  </r>
  <r>
    <x v="2"/>
    <n v="64"/>
    <n v="64"/>
    <x v="81"/>
    <x v="248"/>
    <n v="1.795334E-3"/>
    <n v="8"/>
    <n v="1.10653673571975E-7"/>
    <n v="3.0610749002766398E-5"/>
    <n v="5.2271198329999997"/>
    <n v="2.5712875E-2"/>
    <x v="2"/>
  </r>
  <r>
    <x v="2"/>
    <n v="64"/>
    <n v="64"/>
    <x v="82"/>
    <x v="249"/>
    <n v="1.8899170000000001E-3"/>
    <n v="8"/>
    <n v="1.09203230983733E-7"/>
    <n v="3.0980768654843603E-5"/>
    <n v="5.2271198329999997"/>
    <n v="2.5712875E-2"/>
    <x v="2"/>
  </r>
  <r>
    <x v="2"/>
    <n v="64"/>
    <n v="64"/>
    <x v="83"/>
    <x v="250"/>
    <n v="1.9827500000000001E-3"/>
    <n v="8"/>
    <n v="1.07782748360322E-7"/>
    <n v="3.1351987444223297E-5"/>
    <n v="5.2271198329999997"/>
    <n v="2.5712875E-2"/>
    <x v="2"/>
  </r>
  <r>
    <x v="2"/>
    <n v="64"/>
    <n v="64"/>
    <x v="84"/>
    <x v="251"/>
    <n v="1.9080830000000001E-3"/>
    <n v="8"/>
    <n v="1.0639144203525E-7"/>
    <n v="3.1724532844669202E-5"/>
    <n v="5.2271198329999997"/>
    <n v="2.5712875E-2"/>
    <x v="2"/>
  </r>
  <r>
    <x v="2"/>
    <n v="64"/>
    <n v="64"/>
    <x v="85"/>
    <x v="252"/>
    <n v="1.836334E-3"/>
    <n v="8"/>
    <n v="1.05077353970587E-7"/>
    <n v="3.21134356633342E-5"/>
    <n v="5.2271198329999997"/>
    <n v="2.5712875E-2"/>
    <x v="2"/>
  </r>
  <r>
    <x v="2"/>
    <n v="64"/>
    <n v="64"/>
    <x v="86"/>
    <x v="253"/>
    <n v="1.960416E-3"/>
    <n v="8"/>
    <n v="1.03728514936822E-7"/>
    <n v="3.24850724700587E-5"/>
    <n v="5.2271198329999997"/>
    <n v="2.5712875E-2"/>
    <x v="2"/>
  </r>
  <r>
    <x v="2"/>
    <n v="64"/>
    <n v="64"/>
    <x v="87"/>
    <x v="254"/>
    <n v="1.7497089999999999E-3"/>
    <n v="8"/>
    <n v="1.02409671959665E-7"/>
    <n v="3.2859121574057697E-5"/>
    <n v="5.2271198329999997"/>
    <n v="2.5712875E-2"/>
    <x v="2"/>
  </r>
  <r>
    <x v="2"/>
    <n v="64"/>
    <n v="64"/>
    <x v="88"/>
    <x v="255"/>
    <n v="1.783125E-3"/>
    <n v="8"/>
    <n v="1.01119613770164E-7"/>
    <n v="3.3235563529501101E-5"/>
    <n v="5.2271198329999997"/>
    <n v="2.5712875E-2"/>
    <x v="2"/>
  </r>
  <r>
    <x v="2"/>
    <n v="64"/>
    <n v="64"/>
    <x v="89"/>
    <x v="256"/>
    <n v="1.743292E-3"/>
    <n v="8"/>
    <n v="9.9857370680082394E-8"/>
    <n v="3.36144296189648E-5"/>
    <n v="5.2271198329999997"/>
    <n v="2.5712875E-2"/>
    <x v="2"/>
  </r>
  <r>
    <x v="2"/>
    <n v="64"/>
    <n v="64"/>
    <x v="90"/>
    <x v="257"/>
    <n v="1.766292E-3"/>
    <n v="8"/>
    <n v="9.8622078699257805E-8"/>
    <n v="3.3995763988383199E-5"/>
    <n v="5.2271198329999997"/>
    <n v="2.5712875E-2"/>
    <x v="2"/>
  </r>
  <r>
    <x v="2"/>
    <n v="64"/>
    <n v="64"/>
    <x v="91"/>
    <x v="258"/>
    <n v="1.880458E-3"/>
    <n v="8"/>
    <n v="9.74129243549051E-8"/>
    <n v="3.4379608003320397E-5"/>
    <n v="5.2271198329999997"/>
    <n v="2.5712875E-2"/>
    <x v="2"/>
  </r>
  <r>
    <x v="2"/>
    <n v="64"/>
    <n v="64"/>
    <x v="92"/>
    <x v="259"/>
    <n v="1.9389590000000001E-3"/>
    <n v="8"/>
    <n v="9.6229123824034207E-8"/>
    <n v="3.4765994408866797E-5"/>
    <n v="5.2271198329999997"/>
    <n v="2.5712875E-2"/>
    <x v="2"/>
  </r>
  <r>
    <x v="2"/>
    <n v="64"/>
    <n v="64"/>
    <x v="93"/>
    <x v="260"/>
    <n v="1.7505419999999999E-3"/>
    <n v="8"/>
    <n v="9.5069916303475404E-8"/>
    <n v="3.5154945754576598E-5"/>
    <n v="5.2271198329999997"/>
    <n v="2.5712875E-2"/>
    <x v="2"/>
  </r>
  <r>
    <x v="2"/>
    <n v="64"/>
    <n v="64"/>
    <x v="94"/>
    <x v="261"/>
    <n v="2.2177500000000001E-3"/>
    <n v="8"/>
    <n v="9.3934563002831899E-8"/>
    <n v="3.5546474626225998E-5"/>
    <n v="5.2271198329999997"/>
    <n v="2.5712875E-2"/>
    <x v="2"/>
  </r>
  <r>
    <x v="2"/>
    <n v="64"/>
    <n v="64"/>
    <x v="95"/>
    <x v="262"/>
    <n v="2.0924170000000001E-3"/>
    <n v="8"/>
    <n v="9.2822347872887804E-8"/>
    <n v="3.5940584506639302E-5"/>
    <n v="5.2271198329999997"/>
    <n v="2.5712875E-2"/>
    <x v="2"/>
  </r>
  <r>
    <x v="2"/>
    <n v="64"/>
    <n v="64"/>
    <x v="96"/>
    <x v="263"/>
    <n v="1.860916E-3"/>
    <n v="8"/>
    <n v="9.1732578609404494E-8"/>
    <n v="3.6337270794147998E-5"/>
    <n v="5.2271198329999997"/>
    <n v="2.5712875E-2"/>
    <x v="2"/>
  </r>
  <r>
    <x v="2"/>
    <n v="64"/>
    <n v="64"/>
    <x v="97"/>
    <x v="264"/>
    <n v="1.7956249999999999E-3"/>
    <n v="8"/>
    <n v="9.0664587327542594E-8"/>
    <n v="3.6736521755023601E-5"/>
    <n v="5.2271198329999997"/>
    <n v="2.5712875E-2"/>
    <x v="2"/>
  </r>
  <r>
    <x v="2"/>
    <n v="64"/>
    <n v="64"/>
    <x v="98"/>
    <x v="265"/>
    <n v="1.7974169999999999E-3"/>
    <n v="8"/>
    <n v="8.9617730749508395E-8"/>
    <n v="3.7138319328328397E-5"/>
    <n v="5.2271198329999997"/>
    <n v="2.5712875E-2"/>
    <x v="2"/>
  </r>
  <r>
    <x v="2"/>
    <n v="64"/>
    <n v="64"/>
    <x v="99"/>
    <x v="266"/>
    <n v="1.7900839999999999E-3"/>
    <n v="8"/>
    <n v="8.8591389969477698E-8"/>
    <n v="3.7542639782464902E-5"/>
    <n v="5.2271198329999997"/>
    <n v="2.5712875E-2"/>
    <x v="2"/>
  </r>
  <r>
    <x v="3"/>
    <n v="128"/>
    <n v="128"/>
    <x v="0"/>
    <x v="267"/>
    <n v="4.8143750000000001E-3"/>
    <n v="6"/>
    <n v="6.0426238862603198E-13"/>
    <n v="3.7278826848147901E-14"/>
    <n v="5.9458342499999999"/>
    <n v="9.2080840000000001E-3"/>
    <x v="3"/>
  </r>
  <r>
    <x v="3"/>
    <n v="128"/>
    <n v="128"/>
    <x v="1"/>
    <x v="268"/>
    <n v="8.2622080000000001E-3"/>
    <n v="10"/>
    <n v="4.2923871627661098E-13"/>
    <n v="7.5023728991245496E-14"/>
    <n v="5.9458342499999999"/>
    <n v="9.2080840000000001E-3"/>
    <x v="3"/>
  </r>
  <r>
    <x v="3"/>
    <n v="128"/>
    <n v="128"/>
    <x v="2"/>
    <x v="269"/>
    <n v="2.5704083999999999E-2"/>
    <n v="14"/>
    <n v="1.5074237944663099E-6"/>
    <n v="5.2944495865182996E-7"/>
    <n v="5.9458342499999999"/>
    <n v="9.2080840000000001E-3"/>
    <x v="3"/>
  </r>
  <r>
    <x v="3"/>
    <n v="128"/>
    <n v="128"/>
    <x v="3"/>
    <x v="270"/>
    <n v="6.9165420000000003E-3"/>
    <n v="14"/>
    <n v="2.1901036477901498E-6"/>
    <n v="1.2781487537152399E-6"/>
    <n v="5.9458342499999999"/>
    <n v="9.2080840000000001E-3"/>
    <x v="3"/>
  </r>
  <r>
    <x v="3"/>
    <n v="128"/>
    <n v="128"/>
    <x v="4"/>
    <x v="271"/>
    <n v="7.5482910000000004E-3"/>
    <n v="15"/>
    <n v="2.5288410036024001E-6"/>
    <n v="2.1653829357637799E-6"/>
    <n v="5.9458342499999999"/>
    <n v="9.2080840000000001E-3"/>
    <x v="3"/>
  </r>
  <r>
    <x v="3"/>
    <n v="128"/>
    <n v="128"/>
    <x v="5"/>
    <x v="272"/>
    <n v="3.2815409999999998E-3"/>
    <n v="16"/>
    <n v="2.3716296753880602E-6"/>
    <n v="2.6930055365643798E-6"/>
    <n v="5.9458342499999999"/>
    <n v="9.2080840000000001E-3"/>
    <x v="3"/>
  </r>
  <r>
    <x v="3"/>
    <n v="128"/>
    <n v="128"/>
    <x v="6"/>
    <x v="273"/>
    <n v="3.2495419999999998E-3"/>
    <n v="16"/>
    <n v="2.0583656787801401E-6"/>
    <n v="2.88496803595703E-6"/>
    <n v="5.9458342499999999"/>
    <n v="9.2080840000000001E-3"/>
    <x v="3"/>
  </r>
  <r>
    <x v="3"/>
    <n v="128"/>
    <n v="128"/>
    <x v="7"/>
    <x v="274"/>
    <n v="3.052917E-3"/>
    <n v="16"/>
    <n v="2.0123707620624899E-6"/>
    <n v="3.3365271731597199E-6"/>
    <n v="5.9458342499999999"/>
    <n v="9.2080840000000001E-3"/>
    <x v="3"/>
  </r>
  <r>
    <x v="3"/>
    <n v="128"/>
    <n v="128"/>
    <x v="8"/>
    <x v="275"/>
    <n v="4.8067090000000002E-3"/>
    <n v="16"/>
    <n v="1.7396036290905499E-6"/>
    <n v="3.3346035751237102E-6"/>
    <n v="5.9458342499999999"/>
    <n v="9.2080840000000001E-3"/>
    <x v="3"/>
  </r>
  <r>
    <x v="3"/>
    <n v="128"/>
    <n v="128"/>
    <x v="9"/>
    <x v="276"/>
    <n v="3.1810829999999999E-3"/>
    <n v="16"/>
    <n v="1.49186536789695E-6"/>
    <n v="3.2655792748815598E-6"/>
    <n v="5.9458342499999999"/>
    <n v="9.2080840000000001E-3"/>
    <x v="3"/>
  </r>
  <r>
    <x v="3"/>
    <n v="128"/>
    <n v="128"/>
    <x v="10"/>
    <x v="277"/>
    <n v="3.1253750000000001E-3"/>
    <n v="16"/>
    <n v="1.3502009413724799E-6"/>
    <n v="3.3509248360115602E-6"/>
    <n v="5.9458342499999999"/>
    <n v="9.2080840000000001E-3"/>
    <x v="3"/>
  </r>
  <r>
    <x v="3"/>
    <n v="128"/>
    <n v="128"/>
    <x v="11"/>
    <x v="278"/>
    <n v="3.8497079999999999E-3"/>
    <n v="16"/>
    <n v="1.23637486917069E-6"/>
    <n v="3.4630343156528398E-6"/>
    <n v="5.9458342499999999"/>
    <n v="9.2080840000000001E-3"/>
    <x v="3"/>
  </r>
  <r>
    <x v="3"/>
    <n v="128"/>
    <n v="128"/>
    <x v="12"/>
    <x v="279"/>
    <n v="2.9954169999999998E-3"/>
    <n v="16"/>
    <n v="1.1417815724508399E-6"/>
    <n v="3.5973892041354502E-6"/>
    <n v="5.9458342499999999"/>
    <n v="9.2080840000000001E-3"/>
    <x v="3"/>
  </r>
  <r>
    <x v="3"/>
    <n v="128"/>
    <n v="128"/>
    <x v="13"/>
    <x v="280"/>
    <n v="2.667291E-3"/>
    <n v="16"/>
    <n v="1.0954965787719901E-6"/>
    <n v="3.8722179913118501E-6"/>
    <n v="5.9458342499999999"/>
    <n v="9.2080840000000001E-3"/>
    <x v="3"/>
  </r>
  <r>
    <x v="3"/>
    <n v="128"/>
    <n v="128"/>
    <x v="14"/>
    <x v="281"/>
    <n v="3.05025E-3"/>
    <n v="16"/>
    <n v="1.0328061293251399E-6"/>
    <n v="4.0861785142439503E-6"/>
    <n v="5.9458342499999999"/>
    <n v="9.2080840000000001E-3"/>
    <x v="3"/>
  </r>
  <r>
    <x v="3"/>
    <n v="128"/>
    <n v="128"/>
    <x v="15"/>
    <x v="282"/>
    <n v="2.8180829999999999E-3"/>
    <n v="15"/>
    <n v="9.7189403929286401E-7"/>
    <n v="4.2949979226558401E-6"/>
    <n v="5.9458342499999999"/>
    <n v="9.2080840000000001E-3"/>
    <x v="3"/>
  </r>
  <r>
    <x v="3"/>
    <n v="128"/>
    <n v="128"/>
    <x v="16"/>
    <x v="283"/>
    <n v="2.7357919999999999E-3"/>
    <n v="15"/>
    <n v="9.1006040704015797E-7"/>
    <n v="4.4833992607761299E-6"/>
    <n v="5.9458342499999999"/>
    <n v="9.2080840000000001E-3"/>
    <x v="3"/>
  </r>
  <r>
    <x v="3"/>
    <n v="128"/>
    <n v="128"/>
    <x v="17"/>
    <x v="284"/>
    <n v="2.5333833E-2"/>
    <n v="15"/>
    <n v="8.6139191155065105E-7"/>
    <n v="4.7217984675287797E-6"/>
    <n v="5.9458342499999999"/>
    <n v="9.2080840000000001E-3"/>
    <x v="3"/>
  </r>
  <r>
    <x v="3"/>
    <n v="128"/>
    <n v="128"/>
    <x v="18"/>
    <x v="285"/>
    <n v="2.664708E-3"/>
    <n v="15"/>
    <n v="8.2058574327598301E-7"/>
    <n v="4.9956286043310002E-6"/>
    <n v="5.9458342499999999"/>
    <n v="9.2080840000000001E-3"/>
    <x v="3"/>
  </r>
  <r>
    <x v="3"/>
    <n v="128"/>
    <n v="128"/>
    <x v="19"/>
    <x v="286"/>
    <n v="2.653791E-3"/>
    <n v="14"/>
    <n v="8.0567386013688901E-7"/>
    <n v="5.4372433269654601E-6"/>
    <n v="5.9458342499999999"/>
    <n v="9.2080840000000001E-3"/>
    <x v="3"/>
  </r>
  <r>
    <x v="3"/>
    <n v="128"/>
    <n v="128"/>
    <x v="20"/>
    <x v="287"/>
    <n v="2.698958E-3"/>
    <n v="14"/>
    <n v="7.7767780315482305E-7"/>
    <n v="5.80715181717018E-6"/>
    <n v="5.9458342499999999"/>
    <n v="9.2080840000000001E-3"/>
    <x v="3"/>
  </r>
  <r>
    <x v="3"/>
    <n v="128"/>
    <n v="128"/>
    <x v="21"/>
    <x v="288"/>
    <n v="2.6324999999999999E-3"/>
    <n v="14"/>
    <n v="7.4143713948941897E-7"/>
    <n v="6.1145511333946703E-6"/>
    <n v="5.9458342499999999"/>
    <n v="9.2080840000000001E-3"/>
    <x v="3"/>
  </r>
  <r>
    <x v="3"/>
    <n v="128"/>
    <n v="128"/>
    <x v="22"/>
    <x v="289"/>
    <n v="2.4160840000000002E-3"/>
    <n v="13"/>
    <n v="7.1819230097815098E-7"/>
    <n v="6.5287420009952499E-6"/>
    <n v="5.9458342499999999"/>
    <n v="9.2080840000000001E-3"/>
    <x v="3"/>
  </r>
  <r>
    <x v="3"/>
    <n v="128"/>
    <n v="128"/>
    <x v="23"/>
    <x v="290"/>
    <n v="2.436625E-3"/>
    <n v="13"/>
    <n v="6.8965599607840399E-7"/>
    <n v="6.8972911862014304E-6"/>
    <n v="5.9458342499999999"/>
    <n v="9.2080840000000001E-3"/>
    <x v="3"/>
  </r>
  <r>
    <x v="3"/>
    <n v="128"/>
    <n v="128"/>
    <x v="24"/>
    <x v="291"/>
    <n v="2.6952920000000002E-3"/>
    <n v="13"/>
    <n v="6.6486558140265697E-7"/>
    <n v="7.3009941177162898E-6"/>
    <n v="5.9458342499999999"/>
    <n v="9.2080840000000001E-3"/>
    <x v="3"/>
  </r>
  <r>
    <x v="3"/>
    <n v="128"/>
    <n v="128"/>
    <x v="25"/>
    <x v="292"/>
    <n v="2.5533750000000001E-3"/>
    <n v="13"/>
    <n v="6.4303389317930496E-7"/>
    <n v="7.73775255746225E-6"/>
    <n v="5.9458342499999999"/>
    <n v="9.2080840000000001E-3"/>
    <x v="3"/>
  </r>
  <r>
    <x v="3"/>
    <n v="128"/>
    <n v="128"/>
    <x v="26"/>
    <x v="293"/>
    <n v="2.4023339999999999E-3"/>
    <n v="13"/>
    <n v="6.2353811245888096E-7"/>
    <n v="8.2052905612729792E-6"/>
    <n v="5.9458342499999999"/>
    <n v="9.2080840000000001E-3"/>
    <x v="3"/>
  </r>
  <r>
    <x v="3"/>
    <n v="128"/>
    <n v="128"/>
    <x v="27"/>
    <x v="294"/>
    <n v="2.483833E-3"/>
    <n v="13"/>
    <n v="6.0575525345375203E-7"/>
    <n v="8.6992709085991604E-6"/>
    <n v="5.9458342499999999"/>
    <n v="9.2080840000000001E-3"/>
    <x v="3"/>
  </r>
  <r>
    <x v="3"/>
    <n v="128"/>
    <n v="128"/>
    <x v="28"/>
    <x v="295"/>
    <n v="2.4538749999999999E-3"/>
    <n v="13"/>
    <n v="5.8967607322899596E-7"/>
    <n v="9.2224807810986597E-6"/>
    <n v="5.9458342499999999"/>
    <n v="9.2080840000000001E-3"/>
    <x v="3"/>
  </r>
  <r>
    <x v="3"/>
    <n v="128"/>
    <n v="128"/>
    <x v="29"/>
    <x v="296"/>
    <n v="2.469583E-3"/>
    <n v="13"/>
    <n v="5.7346535294379904E-7"/>
    <n v="9.7470923245081308E-6"/>
    <n v="5.9458342499999999"/>
    <n v="9.2080840000000001E-3"/>
    <x v="3"/>
  </r>
  <r>
    <x v="3"/>
    <n v="128"/>
    <n v="128"/>
    <x v="30"/>
    <x v="297"/>
    <n v="2.3977080000000001E-3"/>
    <n v="13"/>
    <n v="5.6022178482026595E-7"/>
    <n v="1.03261898233407E-5"/>
    <n v="5.9458342499999999"/>
    <n v="9.2080840000000001E-3"/>
    <x v="3"/>
  </r>
  <r>
    <x v="3"/>
    <n v="128"/>
    <n v="128"/>
    <x v="31"/>
    <x v="298"/>
    <n v="2.670291E-3"/>
    <n v="13"/>
    <n v="5.4538255757333197E-7"/>
    <n v="1.08784809610093E-5"/>
    <n v="5.9458342499999999"/>
    <n v="9.2080840000000001E-3"/>
    <x v="3"/>
  </r>
  <r>
    <x v="3"/>
    <n v="128"/>
    <n v="128"/>
    <x v="32"/>
    <x v="299"/>
    <n v="2.4280830000000002E-3"/>
    <n v="13"/>
    <n v="5.3140416469082098E-7"/>
    <n v="1.1445965601835901E-5"/>
    <n v="5.9458342499999999"/>
    <n v="9.2080840000000001E-3"/>
    <x v="3"/>
  </r>
  <r>
    <x v="3"/>
    <n v="128"/>
    <n v="128"/>
    <x v="33"/>
    <x v="300"/>
    <n v="2.4715829999999999E-3"/>
    <n v="13"/>
    <n v="5.1812496388685704E-7"/>
    <n v="1.2025352509477199E-5"/>
    <n v="5.9458342499999999"/>
    <n v="9.2080840000000001E-3"/>
    <x v="3"/>
  </r>
  <r>
    <x v="3"/>
    <n v="128"/>
    <n v="128"/>
    <x v="34"/>
    <x v="301"/>
    <n v="2.4087499999999999E-3"/>
    <n v="13"/>
    <n v="5.0543194306865996E-7"/>
    <n v="1.26136813347194E-5"/>
    <n v="5.9458342499999999"/>
    <n v="9.2080840000000001E-3"/>
    <x v="3"/>
  </r>
  <r>
    <x v="3"/>
    <n v="128"/>
    <n v="128"/>
    <x v="35"/>
    <x v="302"/>
    <n v="0.13178379100000001"/>
    <n v="13"/>
    <n v="4.8938774141270095E-7"/>
    <n v="1.31049635291565E-5"/>
    <n v="5.9458342499999999"/>
    <n v="9.2080840000000001E-3"/>
    <x v="3"/>
  </r>
  <r>
    <x v="3"/>
    <n v="128"/>
    <n v="128"/>
    <x v="36"/>
    <x v="303"/>
    <n v="2.5141249999999999E-3"/>
    <n v="13"/>
    <n v="4.7453006224125601E-7"/>
    <n v="1.36065557318401E-5"/>
    <n v="5.9458342499999999"/>
    <n v="9.2080840000000001E-3"/>
    <x v="3"/>
  </r>
  <r>
    <x v="3"/>
    <n v="128"/>
    <n v="128"/>
    <x v="37"/>
    <x v="304"/>
    <n v="2.7624170000000001E-3"/>
    <n v="13"/>
    <n v="4.6146760832517602E-7"/>
    <n v="1.41396565768003E-5"/>
    <n v="5.9458342499999999"/>
    <n v="9.2080840000000001E-3"/>
    <x v="3"/>
  </r>
  <r>
    <x v="3"/>
    <n v="128"/>
    <n v="128"/>
    <x v="38"/>
    <x v="305"/>
    <n v="4.8882500000000002E-3"/>
    <n v="13"/>
    <n v="4.49405522106446E-7"/>
    <n v="1.4685084811076599E-5"/>
    <n v="5.9458342499999999"/>
    <n v="9.2080840000000001E-3"/>
    <x v="3"/>
  </r>
  <r>
    <x v="3"/>
    <n v="128"/>
    <n v="128"/>
    <x v="39"/>
    <x v="306"/>
    <n v="2.7339170000000002E-3"/>
    <n v="13"/>
    <n v="4.3796993061451802E-7"/>
    <n v="1.52323967451071E-5"/>
    <n v="5.9458342499999999"/>
    <n v="9.2080840000000001E-3"/>
    <x v="3"/>
  </r>
  <r>
    <x v="3"/>
    <n v="128"/>
    <n v="128"/>
    <x v="40"/>
    <x v="307"/>
    <n v="2.5054999999999999E-3"/>
    <n v="13"/>
    <n v="4.26986528417068E-7"/>
    <n v="1.57757460701395E-5"/>
    <n v="5.9458342499999999"/>
    <n v="9.2080840000000001E-3"/>
    <x v="3"/>
  </r>
  <r>
    <x v="3"/>
    <n v="128"/>
    <n v="128"/>
    <x v="41"/>
    <x v="308"/>
    <n v="2.4044159999999999E-3"/>
    <n v="13"/>
    <n v="4.1638904895588401E-7"/>
    <n v="1.6312295143352601E-5"/>
    <n v="5.9458342499999999"/>
    <n v="9.2080840000000001E-3"/>
    <x v="3"/>
  </r>
  <r>
    <x v="3"/>
    <n v="128"/>
    <n v="128"/>
    <x v="42"/>
    <x v="309"/>
    <n v="2.8284170000000002E-3"/>
    <n v="13"/>
    <n v="4.0617046319090601E-7"/>
    <n v="1.6841332707361299E-5"/>
    <n v="5.9458342499999999"/>
    <n v="9.2080840000000001E-3"/>
    <x v="3"/>
  </r>
  <r>
    <x v="3"/>
    <n v="128"/>
    <n v="128"/>
    <x v="43"/>
    <x v="310"/>
    <n v="2.936625E-3"/>
    <n v="12"/>
    <n v="3.9688237055426597E-7"/>
    <n v="1.7386816601780502E-5"/>
    <n v="5.9458342499999999"/>
    <n v="9.2080840000000001E-3"/>
    <x v="3"/>
  </r>
  <r>
    <x v="3"/>
    <n v="128"/>
    <n v="128"/>
    <x v="44"/>
    <x v="311"/>
    <n v="2.5652090000000002E-3"/>
    <n v="12"/>
    <n v="3.8732637034721101E-7"/>
    <n v="1.7897400282673301E-5"/>
    <n v="5.9458342499999999"/>
    <n v="9.2080840000000001E-3"/>
    <x v="3"/>
  </r>
  <r>
    <x v="3"/>
    <n v="128"/>
    <n v="128"/>
    <x v="45"/>
    <x v="312"/>
    <n v="2.6802079999999999E-3"/>
    <n v="12"/>
    <n v="3.7874454821234697E-7"/>
    <n v="1.8429177687830601E-5"/>
    <n v="5.9458342499999999"/>
    <n v="9.2080840000000001E-3"/>
    <x v="3"/>
  </r>
  <r>
    <x v="3"/>
    <n v="128"/>
    <n v="128"/>
    <x v="46"/>
    <x v="313"/>
    <n v="2.3376669999999999E-3"/>
    <n v="12"/>
    <n v="3.69881558208024E-7"/>
    <n v="1.8922967632475502E-5"/>
    <n v="5.9458342499999999"/>
    <n v="9.2080840000000001E-3"/>
    <x v="3"/>
  </r>
  <r>
    <x v="3"/>
    <n v="128"/>
    <n v="128"/>
    <x v="47"/>
    <x v="314"/>
    <n v="2.6124999999999998E-3"/>
    <n v="12"/>
    <n v="3.6141857925865098E-7"/>
    <n v="1.9411229624883701E-5"/>
    <n v="5.9458342499999999"/>
    <n v="9.2080840000000001E-3"/>
    <x v="3"/>
  </r>
  <r>
    <x v="3"/>
    <n v="128"/>
    <n v="128"/>
    <x v="48"/>
    <x v="315"/>
    <n v="2.4112920000000002E-3"/>
    <n v="12"/>
    <n v="3.5331088886157197E-7"/>
    <n v="1.9892688904399599E-5"/>
    <n v="5.9458342499999999"/>
    <n v="9.2080840000000001E-3"/>
    <x v="3"/>
  </r>
  <r>
    <x v="3"/>
    <n v="128"/>
    <n v="128"/>
    <x v="49"/>
    <x v="316"/>
    <n v="2.5105829999999998E-3"/>
    <n v="12"/>
    <n v="3.4566526054861203E-7"/>
    <n v="2.0374777245963E-5"/>
    <n v="5.9458342499999999"/>
    <n v="9.2080840000000001E-3"/>
    <x v="3"/>
  </r>
  <r>
    <x v="3"/>
    <n v="128"/>
    <n v="128"/>
    <x v="50"/>
    <x v="317"/>
    <n v="2.4230667000000001E-2"/>
    <n v="12"/>
    <n v="3.38073374608859E-7"/>
    <n v="2.0834554490585599E-5"/>
    <n v="5.9458342499999999"/>
    <n v="9.2080840000000001E-3"/>
    <x v="3"/>
  </r>
  <r>
    <x v="3"/>
    <n v="128"/>
    <n v="128"/>
    <x v="51"/>
    <x v="318"/>
    <n v="2.4812079999999999E-3"/>
    <n v="12"/>
    <n v="3.3116512387192498E-7"/>
    <n v="2.1311681382843201E-5"/>
    <n v="5.9458342499999999"/>
    <n v="9.2080840000000001E-3"/>
    <x v="3"/>
  </r>
  <r>
    <x v="3"/>
    <n v="128"/>
    <n v="128"/>
    <x v="52"/>
    <x v="319"/>
    <n v="2.3674579999999998E-3"/>
    <n v="12"/>
    <n v="3.2405366031145299E-7"/>
    <n v="2.17511118882125E-5"/>
    <n v="5.9458342499999999"/>
    <n v="9.2080840000000001E-3"/>
    <x v="3"/>
  </r>
  <r>
    <x v="3"/>
    <n v="128"/>
    <n v="128"/>
    <x v="53"/>
    <x v="320"/>
    <n v="2.3417920000000001E-3"/>
    <n v="12"/>
    <n v="3.1720101185141801E-7"/>
    <n v="2.2182432433677298E-5"/>
    <n v="5.9458342499999999"/>
    <n v="9.2080840000000001E-3"/>
    <x v="3"/>
  </r>
  <r>
    <x v="3"/>
    <n v="128"/>
    <n v="128"/>
    <x v="54"/>
    <x v="321"/>
    <n v="3.5460420000000001E-3"/>
    <n v="12"/>
    <n v="3.1058379582872398E-7"/>
    <n v="2.2605206818714401E-5"/>
    <n v="5.9458342499999999"/>
    <n v="9.2080840000000001E-3"/>
    <x v="3"/>
  </r>
  <r>
    <x v="3"/>
    <n v="128"/>
    <n v="128"/>
    <x v="55"/>
    <x v="322"/>
    <n v="2.3049590000000001E-3"/>
    <n v="12"/>
    <n v="3.0418436391425799E-7"/>
    <n v="2.30193030485337E-5"/>
    <n v="5.9458342499999999"/>
    <n v="9.2080840000000001E-3"/>
    <x v="3"/>
  </r>
  <r>
    <x v="3"/>
    <n v="128"/>
    <n v="128"/>
    <x v="56"/>
    <x v="323"/>
    <n v="2.327417E-3"/>
    <n v="12"/>
    <n v="2.9798862184191402E-7"/>
    <n v="2.3424784978434299E-5"/>
    <n v="5.9458342499999999"/>
    <n v="9.2080840000000001E-3"/>
    <x v="3"/>
  </r>
  <r>
    <x v="3"/>
    <n v="128"/>
    <n v="128"/>
    <x v="57"/>
    <x v="324"/>
    <n v="2.177792E-3"/>
    <n v="12"/>
    <n v="2.9221016994705999E-7"/>
    <n v="2.38402338477856E-5"/>
    <n v="5.9458342499999999"/>
    <n v="9.2080840000000001E-3"/>
    <x v="3"/>
  </r>
  <r>
    <x v="3"/>
    <n v="128"/>
    <n v="128"/>
    <x v="58"/>
    <x v="325"/>
    <n v="2.862416E-3"/>
    <n v="12"/>
    <n v="2.8633289682250798E-7"/>
    <n v="2.4225168190499399E-5"/>
    <n v="5.9458342499999999"/>
    <n v="9.2080840000000001E-3"/>
    <x v="3"/>
  </r>
  <r>
    <x v="3"/>
    <n v="128"/>
    <n v="128"/>
    <x v="59"/>
    <x v="326"/>
    <n v="2.2364170000000001E-3"/>
    <n v="12"/>
    <n v="2.8064473855942798E-7"/>
    <n v="2.4603414790570101E-5"/>
    <n v="5.9458342499999999"/>
    <n v="9.2080840000000001E-3"/>
    <x v="3"/>
  </r>
  <r>
    <x v="3"/>
    <n v="128"/>
    <n v="128"/>
    <x v="60"/>
    <x v="327"/>
    <n v="2.7980420000000002E-3"/>
    <n v="12"/>
    <n v="2.7513247814661001E-7"/>
    <n v="2.4975040120253501E-5"/>
    <n v="5.9458342499999999"/>
    <n v="9.2080840000000001E-3"/>
    <x v="3"/>
  </r>
  <r>
    <x v="3"/>
    <n v="128"/>
    <n v="128"/>
    <x v="61"/>
    <x v="328"/>
    <n v="2.4495839999999999E-3"/>
    <n v="12"/>
    <n v="2.69785741689834E-7"/>
    <n v="2.5340277940275099E-5"/>
    <n v="5.9458342499999999"/>
    <n v="9.2080840000000001E-3"/>
    <x v="3"/>
  </r>
  <r>
    <x v="3"/>
    <n v="128"/>
    <n v="128"/>
    <x v="62"/>
    <x v="329"/>
    <n v="2.5439170000000001E-3"/>
    <n v="12"/>
    <n v="2.6459589362237001E-7"/>
    <n v="2.5699455235476E-5"/>
    <n v="5.9458342499999999"/>
    <n v="9.2080840000000001E-3"/>
    <x v="3"/>
  </r>
  <r>
    <x v="3"/>
    <n v="128"/>
    <n v="128"/>
    <x v="63"/>
    <x v="330"/>
    <n v="3.2410410000000001E-3"/>
    <n v="12"/>
    <n v="2.5955546845464298E-7"/>
    <n v="2.6052953206818501E-5"/>
    <n v="5.9458342499999999"/>
    <n v="9.2080840000000001E-3"/>
    <x v="3"/>
  </r>
  <r>
    <x v="3"/>
    <n v="128"/>
    <n v="128"/>
    <x v="64"/>
    <x v="331"/>
    <n v="2.4535E-3"/>
    <n v="12"/>
    <n v="2.54657848668218E-7"/>
    <n v="2.6401184507035301E-5"/>
    <n v="5.9458342499999999"/>
    <n v="9.2080840000000001E-3"/>
    <x v="3"/>
  </r>
  <r>
    <x v="3"/>
    <n v="128"/>
    <n v="128"/>
    <x v="65"/>
    <x v="332"/>
    <n v="2.2762080000000001E-3"/>
    <n v="11"/>
    <n v="2.5007576139094202E-7"/>
    <n v="2.6763703159919201E-5"/>
    <n v="5.9458342499999999"/>
    <n v="9.2080840000000001E-3"/>
    <x v="3"/>
  </r>
  <r>
    <x v="3"/>
    <n v="128"/>
    <n v="128"/>
    <x v="66"/>
    <x v="333"/>
    <n v="2.7229590000000001E-3"/>
    <n v="11"/>
    <n v="2.4542665077393E-7"/>
    <n v="2.7101128071112801E-5"/>
    <n v="5.9458342499999999"/>
    <n v="9.2080840000000001E-3"/>
    <x v="3"/>
  </r>
  <r>
    <x v="3"/>
    <n v="128"/>
    <n v="128"/>
    <x v="67"/>
    <x v="334"/>
    <n v="2.8073339999999999E-3"/>
    <n v="11"/>
    <n v="2.4090782365058101E-7"/>
    <n v="2.7434909591469299E-5"/>
    <n v="5.9458342499999999"/>
    <n v="9.2080840000000001E-3"/>
    <x v="3"/>
  </r>
  <r>
    <x v="3"/>
    <n v="128"/>
    <n v="128"/>
    <x v="68"/>
    <x v="335"/>
    <n v="2.3694160000000001E-3"/>
    <n v="11"/>
    <n v="2.36513208592757E-7"/>
    <n v="2.7765352955732999E-5"/>
    <n v="5.9458342499999999"/>
    <n v="9.2080840000000001E-3"/>
    <x v="3"/>
  </r>
  <r>
    <x v="3"/>
    <n v="128"/>
    <n v="128"/>
    <x v="69"/>
    <x v="336"/>
    <n v="3.2342500000000001E-3"/>
    <n v="11"/>
    <n v="2.3223765930001401E-7"/>
    <n v="2.8092810532239499E-5"/>
    <n v="5.9458342499999999"/>
    <n v="9.2080840000000001E-3"/>
    <x v="3"/>
  </r>
  <r>
    <x v="3"/>
    <n v="128"/>
    <n v="128"/>
    <x v="70"/>
    <x v="337"/>
    <n v="2.352083E-3"/>
    <n v="11"/>
    <n v="2.2807660717409001E-7"/>
    <n v="2.84176511481583E-5"/>
    <n v="5.9458342499999999"/>
    <n v="9.2080840000000001E-3"/>
    <x v="3"/>
  </r>
  <r>
    <x v="3"/>
    <n v="128"/>
    <n v="128"/>
    <x v="71"/>
    <x v="338"/>
    <n v="2.3795410000000002E-3"/>
    <n v="11"/>
    <n v="2.2402588653285999E-7"/>
    <n v="2.8740244994586802E-5"/>
    <n v="5.9458342499999999"/>
    <n v="9.2080840000000001E-3"/>
    <x v="3"/>
  </r>
  <r>
    <x v="3"/>
    <n v="128"/>
    <n v="128"/>
    <x v="72"/>
    <x v="339"/>
    <n v="2.4160829999999999E-3"/>
    <n v="11"/>
    <n v="2.2008163887877501E-7"/>
    <n v="2.9060955824374201E-5"/>
    <n v="5.9458342499999999"/>
    <n v="9.2080840000000001E-3"/>
    <x v="3"/>
  </r>
  <r>
    <x v="3"/>
    <n v="128"/>
    <n v="128"/>
    <x v="73"/>
    <x v="340"/>
    <n v="2.3215419999999998E-3"/>
    <n v="11"/>
    <n v="2.16240251204133E-7"/>
    <n v="2.9380136179643601E-5"/>
    <n v="5.9458342499999999"/>
    <n v="9.2080840000000001E-3"/>
    <x v="3"/>
  </r>
  <r>
    <x v="3"/>
    <n v="128"/>
    <n v="128"/>
    <x v="74"/>
    <x v="341"/>
    <n v="2.3652920000000002E-3"/>
    <n v="11"/>
    <n v="2.12498298691375E-7"/>
    <n v="2.9698122270864301E-5"/>
    <n v="5.9458342499999999"/>
    <n v="9.2080840000000001E-3"/>
    <x v="3"/>
  </r>
  <r>
    <x v="3"/>
    <n v="128"/>
    <n v="128"/>
    <x v="75"/>
    <x v="342"/>
    <n v="2.2032079999999999E-3"/>
    <n v="11"/>
    <n v="2.0885245911754699E-7"/>
    <n v="3.00152238140319E-5"/>
    <n v="5.9458342499999999"/>
    <n v="9.2080840000000001E-3"/>
    <x v="3"/>
  </r>
  <r>
    <x v="3"/>
    <n v="128"/>
    <n v="128"/>
    <x v="76"/>
    <x v="343"/>
    <n v="2.2850840000000002E-3"/>
    <n v="11"/>
    <n v="2.0529937426299801E-7"/>
    <n v="3.0331704267123499E-5"/>
    <n v="5.9458342499999999"/>
    <n v="9.2080840000000001E-3"/>
    <x v="3"/>
  </r>
  <r>
    <x v="3"/>
    <n v="128"/>
    <n v="128"/>
    <x v="77"/>
    <x v="344"/>
    <n v="2.5308625000000001E-2"/>
    <n v="11"/>
    <n v="2.01933207974719E-7"/>
    <n v="3.0662592605961602E-5"/>
    <n v="5.9458342499999999"/>
    <n v="9.2080840000000001E-3"/>
    <x v="3"/>
  </r>
  <r>
    <x v="3"/>
    <n v="128"/>
    <n v="128"/>
    <x v="78"/>
    <x v="345"/>
    <n v="2.3865000000000002E-3"/>
    <n v="11"/>
    <n v="1.9854488390996901E-7"/>
    <n v="3.0977190958770503E-5"/>
    <n v="5.9458342499999999"/>
    <n v="9.2080840000000001E-3"/>
    <x v="3"/>
  </r>
  <r>
    <x v="3"/>
    <n v="128"/>
    <n v="128"/>
    <x v="79"/>
    <x v="346"/>
    <n v="2.6009169999999999E-3"/>
    <n v="11"/>
    <n v="1.9525409110751299E-7"/>
    <n v="3.12939942658378E-5"/>
    <n v="5.9458342499999999"/>
    <n v="9.2080840000000001E-3"/>
    <x v="3"/>
  </r>
  <r>
    <x v="3"/>
    <n v="128"/>
    <n v="128"/>
    <x v="80"/>
    <x v="347"/>
    <n v="2.3984169999999999E-3"/>
    <n v="11"/>
    <n v="1.9205348211535901E-7"/>
    <n v="3.1612621793815202E-5"/>
    <n v="5.9458342499999999"/>
    <n v="9.2080840000000001E-3"/>
    <x v="3"/>
  </r>
  <r>
    <x v="3"/>
    <n v="128"/>
    <n v="128"/>
    <x v="81"/>
    <x v="348"/>
    <n v="2.539791E-3"/>
    <n v="11"/>
    <n v="1.8893735942544E-7"/>
    <n v="3.1932860762333398E-5"/>
    <n v="5.9458342499999999"/>
    <n v="9.2080840000000001E-3"/>
    <x v="3"/>
  </r>
  <r>
    <x v="3"/>
    <n v="128"/>
    <n v="128"/>
    <x v="82"/>
    <x v="349"/>
    <n v="2.3484999999999999E-3"/>
    <n v="11"/>
    <n v="1.8590120509567501E-7"/>
    <n v="3.2254617502989097E-5"/>
    <n v="5.9458342499999999"/>
    <n v="9.2080840000000001E-3"/>
    <x v="3"/>
  </r>
  <r>
    <x v="3"/>
    <n v="128"/>
    <n v="128"/>
    <x v="83"/>
    <x v="350"/>
    <n v="2.3077499999999999E-3"/>
    <n v="11"/>
    <n v="1.8294141803636699E-7"/>
    <n v="3.2577894541107898E-5"/>
    <n v="5.9458342499999999"/>
    <n v="9.2080840000000001E-3"/>
    <x v="3"/>
  </r>
  <r>
    <x v="3"/>
    <n v="128"/>
    <n v="128"/>
    <x v="84"/>
    <x v="351"/>
    <n v="2.2457499999999999E-3"/>
    <n v="11"/>
    <n v="1.8005518705166901E-7"/>
    <n v="3.2902786482881999E-5"/>
    <n v="5.9458342499999999"/>
    <n v="9.2080840000000001E-3"/>
    <x v="3"/>
  </r>
  <r>
    <x v="3"/>
    <n v="128"/>
    <n v="128"/>
    <x v="85"/>
    <x v="352"/>
    <n v="2.2547499999999998E-3"/>
    <n v="11"/>
    <n v="1.77240479205696E-7"/>
    <n v="3.3229494970720501E-5"/>
    <n v="5.9458342499999999"/>
    <n v="9.2080840000000001E-3"/>
    <x v="3"/>
  </r>
  <r>
    <x v="3"/>
    <n v="128"/>
    <n v="128"/>
    <x v="86"/>
    <x v="353"/>
    <n v="2.23325E-3"/>
    <n v="11"/>
    <n v="1.7449614432816301E-7"/>
    <n v="3.35583665761181E-5"/>
    <n v="5.9458342499999999"/>
    <n v="9.2080840000000001E-3"/>
    <x v="3"/>
  </r>
  <r>
    <x v="3"/>
    <n v="128"/>
    <n v="128"/>
    <x v="87"/>
    <x v="354"/>
    <n v="2.266166E-3"/>
    <n v="11"/>
    <n v="1.7182209774059301E-7"/>
    <n v="3.3889950169475598E-5"/>
    <n v="5.9458342499999999"/>
    <n v="9.2080840000000001E-3"/>
    <x v="3"/>
  </r>
  <r>
    <x v="3"/>
    <n v="128"/>
    <n v="128"/>
    <x v="88"/>
    <x v="355"/>
    <n v="2.1274169999999999E-3"/>
    <n v="11"/>
    <n v="1.6921933363032501E-7"/>
    <n v="3.4225026677313602E-5"/>
    <n v="5.9458342499999999"/>
    <n v="9.2080840000000001E-3"/>
    <x v="3"/>
  </r>
  <r>
    <x v="3"/>
    <n v="128"/>
    <n v="128"/>
    <x v="89"/>
    <x v="356"/>
    <n v="2.3501249999999998E-3"/>
    <n v="11"/>
    <n v="1.6668894465657801E-7"/>
    <n v="3.4564434621194302E-5"/>
    <n v="5.9458342499999999"/>
    <n v="9.2080840000000001E-3"/>
    <x v="3"/>
  </r>
  <r>
    <x v="3"/>
    <n v="128"/>
    <n v="128"/>
    <x v="90"/>
    <x v="357"/>
    <n v="2.23675E-3"/>
    <n v="11"/>
    <n v="1.6422477118966999E-7"/>
    <n v="3.49075124929287E-5"/>
    <n v="5.9458342499999999"/>
    <n v="9.2080840000000001E-3"/>
    <x v="3"/>
  </r>
  <r>
    <x v="3"/>
    <n v="128"/>
    <n v="128"/>
    <x v="91"/>
    <x v="358"/>
    <n v="2.297E-3"/>
    <n v="11"/>
    <n v="1.6177591755257499E-7"/>
    <n v="3.5243743074966902E-5"/>
    <n v="5.9458342499999999"/>
    <n v="9.2080840000000001E-3"/>
    <x v="3"/>
  </r>
  <r>
    <x v="3"/>
    <n v="128"/>
    <n v="128"/>
    <x v="92"/>
    <x v="359"/>
    <n v="2.248959E-3"/>
    <n v="11"/>
    <n v="1.5938641555357501E-7"/>
    <n v="3.5582722174772198E-5"/>
    <n v="5.9458342499999999"/>
    <n v="9.2080840000000001E-3"/>
    <x v="3"/>
  </r>
  <r>
    <x v="3"/>
    <n v="128"/>
    <n v="128"/>
    <x v="93"/>
    <x v="360"/>
    <n v="2.2617079999999999E-3"/>
    <n v="11"/>
    <n v="1.56984510921554E-7"/>
    <n v="3.5908517674549301E-5"/>
    <n v="5.9458342499999999"/>
    <n v="9.2080840000000001E-3"/>
    <x v="3"/>
  </r>
  <r>
    <x v="3"/>
    <n v="128"/>
    <n v="128"/>
    <x v="94"/>
    <x v="361"/>
    <n v="2.2482079999999998E-3"/>
    <n v="11"/>
    <n v="1.54649725355296E-7"/>
    <n v="3.62390579350131E-5"/>
    <n v="5.9458342499999999"/>
    <n v="9.2080840000000001E-3"/>
    <x v="3"/>
  </r>
  <r>
    <x v="3"/>
    <n v="128"/>
    <n v="128"/>
    <x v="95"/>
    <x v="362"/>
    <n v="2.5046669999999999E-3"/>
    <n v="11"/>
    <n v="1.5237954995392901E-7"/>
    <n v="3.6574366915436997E-5"/>
    <n v="5.9458342499999999"/>
    <n v="9.2080840000000001E-3"/>
    <x v="3"/>
  </r>
  <r>
    <x v="3"/>
    <n v="128"/>
    <n v="128"/>
    <x v="96"/>
    <x v="363"/>
    <n v="2.504334E-3"/>
    <n v="11"/>
    <n v="1.50168983085274E-7"/>
    <n v="3.6913820897902799E-5"/>
    <n v="5.9458342499999999"/>
    <n v="9.2080840000000001E-3"/>
    <x v="3"/>
  </r>
  <r>
    <x v="3"/>
    <n v="128"/>
    <n v="128"/>
    <x v="97"/>
    <x v="364"/>
    <n v="2.3965420000000002E-3"/>
    <n v="11"/>
    <n v="1.4801372472481001E-7"/>
    <n v="3.7256877625535102E-5"/>
    <n v="5.9458342499999999"/>
    <n v="9.2080840000000001E-3"/>
    <x v="3"/>
  </r>
  <r>
    <x v="3"/>
    <n v="128"/>
    <n v="128"/>
    <x v="98"/>
    <x v="365"/>
    <n v="2.2190420000000001E-3"/>
    <n v="11"/>
    <n v="1.4591044547036299E-7"/>
    <n v="3.76031625737026E-5"/>
    <n v="5.9458342499999999"/>
    <n v="9.2080840000000001E-3"/>
    <x v="3"/>
  </r>
  <r>
    <x v="3"/>
    <n v="128"/>
    <n v="128"/>
    <x v="99"/>
    <x v="366"/>
    <n v="2.2765419999999999E-3"/>
    <n v="11"/>
    <n v="1.4385655876396599E-7"/>
    <n v="3.7952434983638801E-5"/>
    <n v="5.9458342499999999"/>
    <n v="9.2080840000000001E-3"/>
    <x v="3"/>
  </r>
  <r>
    <x v="4"/>
    <n v="256"/>
    <n v="256"/>
    <x v="0"/>
    <x v="367"/>
    <n v="1.5382499999999999E-3"/>
    <n v="6"/>
    <s v="missing"/>
    <s v="missing"/>
    <n v="6.479981875"/>
    <n v="1.5414334E-2"/>
    <x v="4"/>
  </r>
  <r>
    <x v="4"/>
    <n v="256"/>
    <n v="256"/>
    <x v="1"/>
    <x v="367"/>
    <n v="2.4329159999999998E-3"/>
    <n v="10"/>
    <s v="missing"/>
    <s v="missing"/>
    <n v="6.479981875"/>
    <n v="1.5414334E-2"/>
    <x v="4"/>
  </r>
  <r>
    <x v="4"/>
    <n v="256"/>
    <n v="256"/>
    <x v="2"/>
    <x v="367"/>
    <n v="2.330875E-3"/>
    <n v="14"/>
    <s v="missing"/>
    <s v="missing"/>
    <n v="6.479981875"/>
    <n v="1.5414334E-2"/>
    <x v="4"/>
  </r>
  <r>
    <x v="4"/>
    <n v="256"/>
    <n v="256"/>
    <x v="3"/>
    <x v="367"/>
    <n v="2.790875E-3"/>
    <n v="14"/>
    <s v="missing"/>
    <s v="missing"/>
    <n v="6.479981875"/>
    <n v="1.5414334E-2"/>
    <x v="4"/>
  </r>
  <r>
    <x v="4"/>
    <n v="256"/>
    <n v="256"/>
    <x v="4"/>
    <x v="367"/>
    <n v="3.1258330000000002E-3"/>
    <n v="17"/>
    <s v="missing"/>
    <s v="missing"/>
    <n v="6.479981875"/>
    <n v="1.5414334E-2"/>
    <x v="4"/>
  </r>
  <r>
    <x v="4"/>
    <n v="256"/>
    <n v="256"/>
    <x v="5"/>
    <x v="367"/>
    <n v="3.4042909999999998E-3"/>
    <n v="17"/>
    <s v="missing"/>
    <s v="missing"/>
    <n v="6.479981875"/>
    <n v="1.5414334E-2"/>
    <x v="4"/>
  </r>
  <r>
    <x v="4"/>
    <n v="256"/>
    <n v="256"/>
    <x v="6"/>
    <x v="367"/>
    <n v="4.0872909999999998E-3"/>
    <n v="17"/>
    <s v="missing"/>
    <s v="missing"/>
    <n v="6.479981875"/>
    <n v="1.5414334E-2"/>
    <x v="4"/>
  </r>
  <r>
    <x v="4"/>
    <n v="256"/>
    <n v="256"/>
    <x v="7"/>
    <x v="367"/>
    <n v="5.7108330000000002E-3"/>
    <n v="17"/>
    <s v="missing"/>
    <s v="missing"/>
    <n v="6.479981875"/>
    <n v="1.5414334E-2"/>
    <x v="4"/>
  </r>
  <r>
    <x v="4"/>
    <n v="256"/>
    <n v="256"/>
    <x v="8"/>
    <x v="367"/>
    <n v="3.2125420000000001E-3"/>
    <n v="17"/>
    <s v="missing"/>
    <s v="missing"/>
    <n v="6.479981875"/>
    <n v="1.5414334E-2"/>
    <x v="4"/>
  </r>
  <r>
    <x v="4"/>
    <n v="256"/>
    <n v="256"/>
    <x v="9"/>
    <x v="367"/>
    <n v="3.2569999999999999E-3"/>
    <n v="17"/>
    <s v="missing"/>
    <s v="missing"/>
    <n v="6.479981875"/>
    <n v="1.5414334E-2"/>
    <x v="4"/>
  </r>
  <r>
    <x v="4"/>
    <n v="256"/>
    <n v="256"/>
    <x v="10"/>
    <x v="367"/>
    <n v="3.5186250000000001E-3"/>
    <n v="17"/>
    <s v="missing"/>
    <s v="missing"/>
    <n v="6.479981875"/>
    <n v="1.5414334E-2"/>
    <x v="4"/>
  </r>
  <r>
    <x v="4"/>
    <n v="256"/>
    <n v="256"/>
    <x v="11"/>
    <x v="367"/>
    <n v="3.4220000000000001E-3"/>
    <n v="17"/>
    <s v="missing"/>
    <s v="missing"/>
    <n v="6.479981875"/>
    <n v="1.5414334E-2"/>
    <x v="4"/>
  </r>
  <r>
    <x v="4"/>
    <n v="256"/>
    <n v="256"/>
    <x v="12"/>
    <x v="367"/>
    <n v="1.8702541E-2"/>
    <n v="17"/>
    <s v="missing"/>
    <s v="missing"/>
    <n v="6.479981875"/>
    <n v="1.5414334E-2"/>
    <x v="4"/>
  </r>
  <r>
    <x v="4"/>
    <n v="256"/>
    <n v="256"/>
    <x v="13"/>
    <x v="367"/>
    <n v="3.2447499999999998E-3"/>
    <n v="17"/>
    <s v="missing"/>
    <s v="missing"/>
    <n v="6.479981875"/>
    <n v="1.5414334E-2"/>
    <x v="4"/>
  </r>
  <r>
    <x v="4"/>
    <n v="256"/>
    <n v="256"/>
    <x v="14"/>
    <x v="367"/>
    <n v="3.1208339999999998E-3"/>
    <n v="17"/>
    <s v="missing"/>
    <s v="missing"/>
    <n v="6.479981875"/>
    <n v="1.5414334E-2"/>
    <x v="4"/>
  </r>
  <r>
    <x v="4"/>
    <n v="256"/>
    <n v="256"/>
    <x v="15"/>
    <x v="367"/>
    <n v="2.9405E-3"/>
    <n v="17"/>
    <s v="missing"/>
    <s v="missing"/>
    <n v="6.479981875"/>
    <n v="1.5414334E-2"/>
    <x v="4"/>
  </r>
  <r>
    <x v="4"/>
    <n v="256"/>
    <n v="256"/>
    <x v="16"/>
    <x v="367"/>
    <n v="3.0759590000000001E-3"/>
    <n v="17"/>
    <s v="missing"/>
    <s v="missing"/>
    <n v="6.479981875"/>
    <n v="1.5414334E-2"/>
    <x v="4"/>
  </r>
  <r>
    <x v="4"/>
    <n v="256"/>
    <n v="256"/>
    <x v="17"/>
    <x v="367"/>
    <n v="2.9247090000000002E-3"/>
    <n v="17"/>
    <s v="missing"/>
    <s v="missing"/>
    <n v="6.479981875"/>
    <n v="1.5414334E-2"/>
    <x v="4"/>
  </r>
  <r>
    <x v="4"/>
    <n v="256"/>
    <n v="256"/>
    <x v="18"/>
    <x v="367"/>
    <n v="3.2042080000000001E-3"/>
    <n v="16"/>
    <s v="missing"/>
    <s v="missing"/>
    <n v="6.479981875"/>
    <n v="1.5414334E-2"/>
    <x v="4"/>
  </r>
  <r>
    <x v="4"/>
    <n v="256"/>
    <n v="256"/>
    <x v="19"/>
    <x v="367"/>
    <n v="3.1958749999999999E-3"/>
    <n v="15"/>
    <s v="missing"/>
    <s v="missing"/>
    <n v="6.479981875"/>
    <n v="1.5414334E-2"/>
    <x v="4"/>
  </r>
  <r>
    <x v="4"/>
    <n v="256"/>
    <n v="256"/>
    <x v="20"/>
    <x v="367"/>
    <n v="3.068917E-3"/>
    <n v="15"/>
    <s v="missing"/>
    <s v="missing"/>
    <n v="6.479981875"/>
    <n v="1.5414334E-2"/>
    <x v="4"/>
  </r>
  <r>
    <x v="4"/>
    <n v="256"/>
    <n v="256"/>
    <x v="21"/>
    <x v="367"/>
    <n v="2.6737079999999999E-3"/>
    <n v="15"/>
    <s v="missing"/>
    <s v="missing"/>
    <n v="6.479981875"/>
    <n v="1.5414334E-2"/>
    <x v="4"/>
  </r>
  <r>
    <x v="4"/>
    <n v="256"/>
    <n v="256"/>
    <x v="22"/>
    <x v="367"/>
    <n v="3.0433330000000001E-3"/>
    <n v="15"/>
    <s v="missing"/>
    <s v="missing"/>
    <n v="6.479981875"/>
    <n v="1.5414334E-2"/>
    <x v="4"/>
  </r>
  <r>
    <x v="4"/>
    <n v="256"/>
    <n v="256"/>
    <x v="23"/>
    <x v="367"/>
    <n v="2.7643329999999999E-3"/>
    <n v="15"/>
    <s v="missing"/>
    <s v="missing"/>
    <n v="6.479981875"/>
    <n v="1.5414334E-2"/>
    <x v="4"/>
  </r>
  <r>
    <x v="4"/>
    <n v="256"/>
    <n v="256"/>
    <x v="24"/>
    <x v="367"/>
    <n v="3.2799999999999999E-3"/>
    <n v="15"/>
    <s v="missing"/>
    <s v="missing"/>
    <n v="6.479981875"/>
    <n v="1.5414334E-2"/>
    <x v="4"/>
  </r>
  <r>
    <x v="4"/>
    <n v="256"/>
    <n v="256"/>
    <x v="25"/>
    <x v="367"/>
    <n v="2.8790420000000001E-3"/>
    <n v="15"/>
    <s v="missing"/>
    <s v="missing"/>
    <n v="6.479981875"/>
    <n v="1.5414334E-2"/>
    <x v="4"/>
  </r>
  <r>
    <x v="4"/>
    <n v="256"/>
    <n v="256"/>
    <x v="26"/>
    <x v="367"/>
    <n v="2.8301250000000002E-3"/>
    <n v="15"/>
    <s v="missing"/>
    <s v="missing"/>
    <n v="6.479981875"/>
    <n v="1.5414334E-2"/>
    <x v="4"/>
  </r>
  <r>
    <x v="4"/>
    <n v="256"/>
    <n v="256"/>
    <x v="27"/>
    <x v="367"/>
    <n v="2.9389170000000001E-3"/>
    <n v="15"/>
    <s v="missing"/>
    <s v="missing"/>
    <n v="6.479981875"/>
    <n v="1.5414334E-2"/>
    <x v="4"/>
  </r>
  <r>
    <x v="4"/>
    <n v="256"/>
    <n v="256"/>
    <x v="28"/>
    <x v="367"/>
    <n v="2.98E-3"/>
    <n v="15"/>
    <s v="missing"/>
    <s v="missing"/>
    <n v="6.479981875"/>
    <n v="1.5414334E-2"/>
    <x v="4"/>
  </r>
  <r>
    <x v="4"/>
    <n v="256"/>
    <n v="256"/>
    <x v="29"/>
    <x v="367"/>
    <n v="2.8557500000000002E-3"/>
    <n v="15"/>
    <s v="missing"/>
    <s v="missing"/>
    <n v="6.479981875"/>
    <n v="1.5414334E-2"/>
    <x v="4"/>
  </r>
  <r>
    <x v="4"/>
    <n v="256"/>
    <n v="256"/>
    <x v="30"/>
    <x v="367"/>
    <n v="2.8744170000000002E-3"/>
    <n v="15"/>
    <s v="missing"/>
    <s v="missing"/>
    <n v="6.479981875"/>
    <n v="1.5414334E-2"/>
    <x v="4"/>
  </r>
  <r>
    <x v="4"/>
    <n v="256"/>
    <n v="256"/>
    <x v="31"/>
    <x v="367"/>
    <n v="3.1514170000000001E-3"/>
    <n v="15"/>
    <s v="missing"/>
    <s v="missing"/>
    <n v="6.479981875"/>
    <n v="1.5414334E-2"/>
    <x v="4"/>
  </r>
  <r>
    <x v="4"/>
    <n v="256"/>
    <n v="256"/>
    <x v="32"/>
    <x v="367"/>
    <n v="1.0860375E-2"/>
    <n v="15"/>
    <s v="missing"/>
    <s v="missing"/>
    <n v="6.479981875"/>
    <n v="1.5414334E-2"/>
    <x v="4"/>
  </r>
  <r>
    <x v="4"/>
    <n v="256"/>
    <n v="256"/>
    <x v="33"/>
    <x v="367"/>
    <n v="3.0061670000000001E-3"/>
    <n v="15"/>
    <s v="missing"/>
    <s v="missing"/>
    <n v="6.479981875"/>
    <n v="1.5414334E-2"/>
    <x v="4"/>
  </r>
  <r>
    <x v="4"/>
    <n v="256"/>
    <n v="256"/>
    <x v="34"/>
    <x v="367"/>
    <n v="3.1292080000000001E-3"/>
    <n v="15"/>
    <s v="missing"/>
    <s v="missing"/>
    <n v="6.479981875"/>
    <n v="1.5414334E-2"/>
    <x v="4"/>
  </r>
  <r>
    <x v="4"/>
    <n v="256"/>
    <n v="256"/>
    <x v="35"/>
    <x v="367"/>
    <n v="2.8088750000000002E-3"/>
    <n v="15"/>
    <s v="missing"/>
    <s v="missing"/>
    <n v="6.479981875"/>
    <n v="1.5414334E-2"/>
    <x v="4"/>
  </r>
  <r>
    <x v="4"/>
    <n v="256"/>
    <n v="256"/>
    <x v="36"/>
    <x v="367"/>
    <n v="3.0040420000000002E-3"/>
    <n v="15"/>
    <s v="missing"/>
    <s v="missing"/>
    <n v="6.479981875"/>
    <n v="1.5414334E-2"/>
    <x v="4"/>
  </r>
  <r>
    <x v="4"/>
    <n v="256"/>
    <n v="256"/>
    <x v="37"/>
    <x v="367"/>
    <n v="3.0029589999999999E-3"/>
    <n v="15"/>
    <s v="missing"/>
    <s v="missing"/>
    <n v="6.479981875"/>
    <n v="1.5414334E-2"/>
    <x v="4"/>
  </r>
  <r>
    <x v="4"/>
    <n v="256"/>
    <n v="256"/>
    <x v="38"/>
    <x v="367"/>
    <n v="2.6891250000000001E-3"/>
    <n v="15"/>
    <s v="missing"/>
    <s v="missing"/>
    <n v="6.479981875"/>
    <n v="1.5414334E-2"/>
    <x v="4"/>
  </r>
  <r>
    <x v="4"/>
    <n v="256"/>
    <n v="256"/>
    <x v="39"/>
    <x v="367"/>
    <n v="2.8860420000000001E-3"/>
    <n v="15"/>
    <s v="missing"/>
    <s v="missing"/>
    <n v="6.479981875"/>
    <n v="1.5414334E-2"/>
    <x v="4"/>
  </r>
  <r>
    <x v="4"/>
    <n v="256"/>
    <n v="256"/>
    <x v="40"/>
    <x v="367"/>
    <n v="2.8010829999999998E-3"/>
    <n v="15"/>
    <s v="missing"/>
    <s v="missing"/>
    <n v="6.479981875"/>
    <n v="1.5414334E-2"/>
    <x v="4"/>
  </r>
  <r>
    <x v="4"/>
    <n v="256"/>
    <n v="256"/>
    <x v="41"/>
    <x v="367"/>
    <n v="2.6019580000000001E-3"/>
    <n v="15"/>
    <s v="missing"/>
    <s v="missing"/>
    <n v="6.479981875"/>
    <n v="1.5414334E-2"/>
    <x v="4"/>
  </r>
  <r>
    <x v="4"/>
    <n v="256"/>
    <n v="256"/>
    <x v="42"/>
    <x v="367"/>
    <n v="2.6795E-3"/>
    <n v="15"/>
    <s v="missing"/>
    <s v="missing"/>
    <n v="6.479981875"/>
    <n v="1.5414334E-2"/>
    <x v="4"/>
  </r>
  <r>
    <x v="4"/>
    <n v="256"/>
    <n v="256"/>
    <x v="43"/>
    <x v="367"/>
    <n v="2.7580410000000001E-3"/>
    <n v="14"/>
    <s v="missing"/>
    <s v="missing"/>
    <n v="6.479981875"/>
    <n v="1.5414334E-2"/>
    <x v="4"/>
  </r>
  <r>
    <x v="4"/>
    <n v="256"/>
    <n v="256"/>
    <x v="44"/>
    <x v="367"/>
    <n v="2.880292E-3"/>
    <n v="14"/>
    <s v="missing"/>
    <s v="missing"/>
    <n v="6.479981875"/>
    <n v="1.5414334E-2"/>
    <x v="4"/>
  </r>
  <r>
    <x v="4"/>
    <n v="256"/>
    <n v="256"/>
    <x v="45"/>
    <x v="367"/>
    <n v="2.6405000000000001E-3"/>
    <n v="14"/>
    <s v="missing"/>
    <s v="missing"/>
    <n v="6.479981875"/>
    <n v="1.5414334E-2"/>
    <x v="4"/>
  </r>
  <r>
    <x v="4"/>
    <n v="256"/>
    <n v="256"/>
    <x v="46"/>
    <x v="367"/>
    <n v="2.969583E-3"/>
    <n v="14"/>
    <s v="missing"/>
    <s v="missing"/>
    <n v="6.479981875"/>
    <n v="1.5414334E-2"/>
    <x v="4"/>
  </r>
  <r>
    <x v="4"/>
    <n v="256"/>
    <n v="256"/>
    <x v="47"/>
    <x v="367"/>
    <n v="2.67475E-3"/>
    <n v="14"/>
    <s v="missing"/>
    <s v="missing"/>
    <n v="6.479981875"/>
    <n v="1.5414334E-2"/>
    <x v="4"/>
  </r>
  <r>
    <x v="4"/>
    <n v="256"/>
    <n v="256"/>
    <x v="48"/>
    <x v="367"/>
    <n v="2.8614999999999999E-3"/>
    <n v="14"/>
    <s v="missing"/>
    <s v="missing"/>
    <n v="6.479981875"/>
    <n v="1.5414334E-2"/>
    <x v="4"/>
  </r>
  <r>
    <x v="4"/>
    <n v="256"/>
    <n v="256"/>
    <x v="49"/>
    <x v="367"/>
    <n v="2.4358750000000001E-3"/>
    <n v="14"/>
    <s v="missing"/>
    <s v="missing"/>
    <n v="6.479981875"/>
    <n v="1.5414334E-2"/>
    <x v="4"/>
  </r>
  <r>
    <x v="4"/>
    <n v="256"/>
    <n v="256"/>
    <x v="50"/>
    <x v="367"/>
    <n v="2.7179999999999999E-3"/>
    <n v="14"/>
    <s v="missing"/>
    <s v="missing"/>
    <n v="6.479981875"/>
    <n v="1.5414334E-2"/>
    <x v="4"/>
  </r>
  <r>
    <x v="4"/>
    <n v="256"/>
    <n v="256"/>
    <x v="51"/>
    <x v="367"/>
    <n v="2.7358339999999999E-3"/>
    <n v="14"/>
    <s v="missing"/>
    <s v="missing"/>
    <n v="6.479981875"/>
    <n v="1.5414334E-2"/>
    <x v="4"/>
  </r>
  <r>
    <x v="4"/>
    <n v="256"/>
    <n v="256"/>
    <x v="52"/>
    <x v="367"/>
    <n v="2.4792920000000001E-3"/>
    <n v="14"/>
    <s v="missing"/>
    <s v="missing"/>
    <n v="6.479981875"/>
    <n v="1.5414334E-2"/>
    <x v="4"/>
  </r>
  <r>
    <x v="4"/>
    <n v="256"/>
    <n v="256"/>
    <x v="53"/>
    <x v="367"/>
    <n v="2.5627499999999999E-3"/>
    <n v="14"/>
    <s v="missing"/>
    <s v="missing"/>
    <n v="6.479981875"/>
    <n v="1.5414334E-2"/>
    <x v="4"/>
  </r>
  <r>
    <x v="4"/>
    <n v="256"/>
    <n v="256"/>
    <x v="54"/>
    <x v="367"/>
    <n v="6.9929579999999996E-3"/>
    <n v="14"/>
    <s v="missing"/>
    <s v="missing"/>
    <n v="6.479981875"/>
    <n v="1.5414334E-2"/>
    <x v="4"/>
  </r>
  <r>
    <x v="4"/>
    <n v="256"/>
    <n v="256"/>
    <x v="55"/>
    <x v="367"/>
    <n v="2.7610830000000001E-3"/>
    <n v="14"/>
    <s v="missing"/>
    <s v="missing"/>
    <n v="6.479981875"/>
    <n v="1.5414334E-2"/>
    <x v="4"/>
  </r>
  <r>
    <x v="4"/>
    <n v="256"/>
    <n v="256"/>
    <x v="56"/>
    <x v="367"/>
    <n v="2.524625E-3"/>
    <n v="14"/>
    <s v="missing"/>
    <s v="missing"/>
    <n v="6.479981875"/>
    <n v="1.5414334E-2"/>
    <x v="4"/>
  </r>
  <r>
    <x v="4"/>
    <n v="256"/>
    <n v="256"/>
    <x v="57"/>
    <x v="367"/>
    <n v="2.4875000000000001E-3"/>
    <n v="14"/>
    <s v="missing"/>
    <s v="missing"/>
    <n v="6.479981875"/>
    <n v="1.5414334E-2"/>
    <x v="4"/>
  </r>
  <r>
    <x v="4"/>
    <n v="256"/>
    <n v="256"/>
    <x v="58"/>
    <x v="367"/>
    <n v="2.6479590000000001E-3"/>
    <n v="14"/>
    <s v="missing"/>
    <s v="missing"/>
    <n v="6.479981875"/>
    <n v="1.5414334E-2"/>
    <x v="4"/>
  </r>
  <r>
    <x v="4"/>
    <n v="256"/>
    <n v="256"/>
    <x v="59"/>
    <x v="367"/>
    <n v="2.412291E-3"/>
    <n v="14"/>
    <s v="missing"/>
    <s v="missing"/>
    <n v="6.479981875"/>
    <n v="1.5414334E-2"/>
    <x v="4"/>
  </r>
  <r>
    <x v="4"/>
    <n v="256"/>
    <n v="256"/>
    <x v="60"/>
    <x v="367"/>
    <n v="2.5959580000000002E-3"/>
    <n v="14"/>
    <s v="missing"/>
    <s v="missing"/>
    <n v="6.479981875"/>
    <n v="1.5414334E-2"/>
    <x v="4"/>
  </r>
  <r>
    <x v="4"/>
    <n v="256"/>
    <n v="256"/>
    <x v="61"/>
    <x v="367"/>
    <n v="2.5926249999999999E-3"/>
    <n v="14"/>
    <s v="missing"/>
    <s v="missing"/>
    <n v="6.479981875"/>
    <n v="1.5414334E-2"/>
    <x v="4"/>
  </r>
  <r>
    <x v="4"/>
    <n v="256"/>
    <n v="256"/>
    <x v="62"/>
    <x v="367"/>
    <n v="2.3290419999999999E-3"/>
    <n v="14"/>
    <s v="missing"/>
    <s v="missing"/>
    <n v="6.479981875"/>
    <n v="1.5414334E-2"/>
    <x v="4"/>
  </r>
  <r>
    <x v="4"/>
    <n v="256"/>
    <n v="256"/>
    <x v="63"/>
    <x v="367"/>
    <n v="2.8099169999999999E-3"/>
    <n v="14"/>
    <s v="missing"/>
    <s v="missing"/>
    <n v="6.479981875"/>
    <n v="1.5414334E-2"/>
    <x v="4"/>
  </r>
  <r>
    <x v="4"/>
    <n v="256"/>
    <n v="256"/>
    <x v="64"/>
    <x v="367"/>
    <n v="2.7230840000000002E-3"/>
    <n v="14"/>
    <s v="missing"/>
    <s v="missing"/>
    <n v="6.479981875"/>
    <n v="1.5414334E-2"/>
    <x v="4"/>
  </r>
  <r>
    <x v="4"/>
    <n v="256"/>
    <n v="256"/>
    <x v="65"/>
    <x v="367"/>
    <n v="2.3734580000000002E-3"/>
    <n v="14"/>
    <s v="missing"/>
    <s v="missing"/>
    <n v="6.479981875"/>
    <n v="1.5414334E-2"/>
    <x v="4"/>
  </r>
  <r>
    <x v="4"/>
    <n v="256"/>
    <n v="256"/>
    <x v="66"/>
    <x v="367"/>
    <n v="2.8790830000000002E-3"/>
    <n v="14"/>
    <s v="missing"/>
    <s v="missing"/>
    <n v="6.479981875"/>
    <n v="1.5414334E-2"/>
    <x v="4"/>
  </r>
  <r>
    <x v="4"/>
    <n v="256"/>
    <n v="256"/>
    <x v="67"/>
    <x v="367"/>
    <n v="2.4880409999999999E-3"/>
    <n v="14"/>
    <s v="missing"/>
    <s v="missing"/>
    <n v="6.479981875"/>
    <n v="1.5414334E-2"/>
    <x v="4"/>
  </r>
  <r>
    <x v="4"/>
    <n v="256"/>
    <n v="256"/>
    <x v="68"/>
    <x v="367"/>
    <n v="2.750583E-3"/>
    <n v="14"/>
    <s v="missing"/>
    <s v="missing"/>
    <n v="6.479981875"/>
    <n v="1.5414334E-2"/>
    <x v="4"/>
  </r>
  <r>
    <x v="4"/>
    <n v="256"/>
    <n v="256"/>
    <x v="69"/>
    <x v="367"/>
    <n v="2.9725419999999999E-3"/>
    <n v="14"/>
    <s v="missing"/>
    <s v="missing"/>
    <n v="6.479981875"/>
    <n v="1.5414334E-2"/>
    <x v="4"/>
  </r>
  <r>
    <x v="4"/>
    <n v="256"/>
    <n v="256"/>
    <x v="70"/>
    <x v="367"/>
    <n v="2.4699589999999999E-3"/>
    <n v="14"/>
    <s v="missing"/>
    <s v="missing"/>
    <n v="6.479981875"/>
    <n v="1.5414334E-2"/>
    <x v="4"/>
  </r>
  <r>
    <x v="4"/>
    <n v="256"/>
    <n v="256"/>
    <x v="71"/>
    <x v="367"/>
    <n v="2.8751670000000001E-3"/>
    <n v="14"/>
    <s v="missing"/>
    <s v="missing"/>
    <n v="6.479981875"/>
    <n v="1.5414334E-2"/>
    <x v="4"/>
  </r>
  <r>
    <x v="4"/>
    <n v="256"/>
    <n v="256"/>
    <x v="72"/>
    <x v="367"/>
    <n v="2.5850830000000002E-3"/>
    <n v="14"/>
    <s v="missing"/>
    <s v="missing"/>
    <n v="6.479981875"/>
    <n v="1.5414334E-2"/>
    <x v="4"/>
  </r>
  <r>
    <x v="4"/>
    <n v="256"/>
    <n v="256"/>
    <x v="73"/>
    <x v="367"/>
    <n v="2.8857499999999999E-3"/>
    <n v="14"/>
    <s v="missing"/>
    <s v="missing"/>
    <n v="6.479981875"/>
    <n v="1.5414334E-2"/>
    <x v="4"/>
  </r>
  <r>
    <x v="4"/>
    <n v="256"/>
    <n v="256"/>
    <x v="74"/>
    <x v="367"/>
    <n v="2.5427090000000002E-3"/>
    <n v="14"/>
    <s v="missing"/>
    <s v="missing"/>
    <n v="6.479981875"/>
    <n v="1.5414334E-2"/>
    <x v="4"/>
  </r>
  <r>
    <x v="4"/>
    <n v="256"/>
    <n v="256"/>
    <x v="75"/>
    <x v="367"/>
    <n v="2.5162919999999998E-3"/>
    <n v="14"/>
    <s v="missing"/>
    <s v="missing"/>
    <n v="6.479981875"/>
    <n v="1.5414334E-2"/>
    <x v="4"/>
  </r>
  <r>
    <x v="4"/>
    <n v="256"/>
    <n v="256"/>
    <x v="76"/>
    <x v="367"/>
    <n v="2.8694580000000001E-3"/>
    <n v="14"/>
    <s v="missing"/>
    <s v="missing"/>
    <n v="6.479981875"/>
    <n v="1.5414334E-2"/>
    <x v="4"/>
  </r>
  <r>
    <x v="4"/>
    <n v="256"/>
    <n v="256"/>
    <x v="77"/>
    <x v="367"/>
    <n v="3.0432910000000001E-3"/>
    <n v="14"/>
    <s v="missing"/>
    <s v="missing"/>
    <n v="6.479981875"/>
    <n v="1.5414334E-2"/>
    <x v="4"/>
  </r>
  <r>
    <x v="4"/>
    <n v="256"/>
    <n v="256"/>
    <x v="78"/>
    <x v="367"/>
    <n v="7.3161249999999997E-3"/>
    <n v="14"/>
    <s v="missing"/>
    <s v="missing"/>
    <n v="6.479981875"/>
    <n v="1.5414334E-2"/>
    <x v="4"/>
  </r>
  <r>
    <x v="4"/>
    <n v="256"/>
    <n v="256"/>
    <x v="79"/>
    <x v="367"/>
    <n v="2.3213750000000001E-3"/>
    <n v="14"/>
    <s v="missing"/>
    <s v="missing"/>
    <n v="6.479981875"/>
    <n v="1.5414334E-2"/>
    <x v="4"/>
  </r>
  <r>
    <x v="4"/>
    <n v="256"/>
    <n v="256"/>
    <x v="80"/>
    <x v="367"/>
    <n v="2.5895829999999999E-3"/>
    <n v="14"/>
    <s v="missing"/>
    <s v="missing"/>
    <n v="6.479981875"/>
    <n v="1.5414334E-2"/>
    <x v="4"/>
  </r>
  <r>
    <x v="4"/>
    <n v="256"/>
    <n v="256"/>
    <x v="81"/>
    <x v="367"/>
    <n v="2.490833E-3"/>
    <n v="14"/>
    <s v="missing"/>
    <s v="missing"/>
    <n v="6.479981875"/>
    <n v="1.5414334E-2"/>
    <x v="4"/>
  </r>
  <r>
    <x v="4"/>
    <n v="256"/>
    <n v="256"/>
    <x v="82"/>
    <x v="367"/>
    <n v="2.6687080000000001E-3"/>
    <n v="14"/>
    <s v="missing"/>
    <s v="missing"/>
    <n v="6.479981875"/>
    <n v="1.5414334E-2"/>
    <x v="4"/>
  </r>
  <r>
    <x v="4"/>
    <n v="256"/>
    <n v="256"/>
    <x v="83"/>
    <x v="367"/>
    <n v="2.6600840000000001E-3"/>
    <n v="13"/>
    <s v="missing"/>
    <s v="missing"/>
    <n v="6.479981875"/>
    <n v="1.5414334E-2"/>
    <x v="4"/>
  </r>
  <r>
    <x v="4"/>
    <n v="256"/>
    <n v="256"/>
    <x v="84"/>
    <x v="367"/>
    <n v="3.5309159999999998E-3"/>
    <n v="13"/>
    <s v="missing"/>
    <s v="missing"/>
    <n v="6.479981875"/>
    <n v="1.5414334E-2"/>
    <x v="4"/>
  </r>
  <r>
    <x v="4"/>
    <n v="256"/>
    <n v="256"/>
    <x v="85"/>
    <x v="367"/>
    <n v="2.440958E-3"/>
    <n v="13"/>
    <s v="missing"/>
    <s v="missing"/>
    <n v="6.479981875"/>
    <n v="1.5414334E-2"/>
    <x v="4"/>
  </r>
  <r>
    <x v="4"/>
    <n v="256"/>
    <n v="256"/>
    <x v="86"/>
    <x v="367"/>
    <n v="2.2682499999999999E-3"/>
    <n v="13"/>
    <s v="missing"/>
    <s v="missing"/>
    <n v="6.479981875"/>
    <n v="1.5414334E-2"/>
    <x v="4"/>
  </r>
  <r>
    <x v="4"/>
    <n v="256"/>
    <n v="256"/>
    <x v="87"/>
    <x v="367"/>
    <n v="2.5431249999999998E-3"/>
    <n v="13"/>
    <s v="missing"/>
    <s v="missing"/>
    <n v="6.479981875"/>
    <n v="1.5414334E-2"/>
    <x v="4"/>
  </r>
  <r>
    <x v="4"/>
    <n v="256"/>
    <n v="256"/>
    <x v="88"/>
    <x v="367"/>
    <n v="2.9692080000000001E-3"/>
    <n v="13"/>
    <s v="missing"/>
    <s v="missing"/>
    <n v="6.479981875"/>
    <n v="1.5414334E-2"/>
    <x v="4"/>
  </r>
  <r>
    <x v="4"/>
    <n v="256"/>
    <n v="256"/>
    <x v="89"/>
    <x v="367"/>
    <n v="2.6678750000000001E-3"/>
    <n v="13"/>
    <s v="missing"/>
    <s v="missing"/>
    <n v="6.479981875"/>
    <n v="1.5414334E-2"/>
    <x v="4"/>
  </r>
  <r>
    <x v="4"/>
    <n v="256"/>
    <n v="256"/>
    <x v="90"/>
    <x v="367"/>
    <n v="2.8622500000000002E-3"/>
    <n v="13"/>
    <s v="missing"/>
    <s v="missing"/>
    <n v="6.479981875"/>
    <n v="1.5414334E-2"/>
    <x v="4"/>
  </r>
  <r>
    <x v="4"/>
    <n v="256"/>
    <n v="256"/>
    <x v="91"/>
    <x v="367"/>
    <n v="2.253625E-3"/>
    <n v="13"/>
    <s v="missing"/>
    <s v="missing"/>
    <n v="6.479981875"/>
    <n v="1.5414334E-2"/>
    <x v="4"/>
  </r>
  <r>
    <x v="4"/>
    <n v="256"/>
    <n v="256"/>
    <x v="92"/>
    <x v="367"/>
    <n v="3.59275E-3"/>
    <n v="13"/>
    <s v="missing"/>
    <s v="missing"/>
    <n v="6.479981875"/>
    <n v="1.5414334E-2"/>
    <x v="4"/>
  </r>
  <r>
    <x v="4"/>
    <n v="256"/>
    <n v="256"/>
    <x v="93"/>
    <x v="367"/>
    <n v="2.4518750000000001E-3"/>
    <n v="13"/>
    <s v="missing"/>
    <s v="missing"/>
    <n v="6.479981875"/>
    <n v="1.5414334E-2"/>
    <x v="4"/>
  </r>
  <r>
    <x v="4"/>
    <n v="256"/>
    <n v="256"/>
    <x v="94"/>
    <x v="367"/>
    <n v="2.3589169999999999E-3"/>
    <n v="13"/>
    <s v="missing"/>
    <s v="missing"/>
    <n v="6.479981875"/>
    <n v="1.5414334E-2"/>
    <x v="4"/>
  </r>
  <r>
    <x v="4"/>
    <n v="256"/>
    <n v="256"/>
    <x v="95"/>
    <x v="367"/>
    <n v="2.2515E-3"/>
    <n v="13"/>
    <s v="missing"/>
    <s v="missing"/>
    <n v="6.479981875"/>
    <n v="1.5414334E-2"/>
    <x v="4"/>
  </r>
  <r>
    <x v="4"/>
    <n v="256"/>
    <n v="256"/>
    <x v="96"/>
    <x v="367"/>
    <n v="2.6875829999999999E-3"/>
    <n v="13"/>
    <s v="missing"/>
    <s v="missing"/>
    <n v="6.479981875"/>
    <n v="1.5414334E-2"/>
    <x v="4"/>
  </r>
  <r>
    <x v="4"/>
    <n v="256"/>
    <n v="256"/>
    <x v="97"/>
    <x v="367"/>
    <n v="2.476125E-3"/>
    <n v="13"/>
    <s v="missing"/>
    <s v="missing"/>
    <n v="6.479981875"/>
    <n v="1.5414334E-2"/>
    <x v="4"/>
  </r>
  <r>
    <x v="4"/>
    <n v="256"/>
    <n v="256"/>
    <x v="98"/>
    <x v="367"/>
    <n v="3.2121250000000001E-3"/>
    <n v="12"/>
    <s v="missing"/>
    <s v="missing"/>
    <n v="6.479981875"/>
    <n v="1.5414334E-2"/>
    <x v="4"/>
  </r>
  <r>
    <x v="4"/>
    <n v="256"/>
    <n v="256"/>
    <x v="99"/>
    <x v="367"/>
    <n v="2.8250419999999998E-3"/>
    <n v="12"/>
    <s v="missing"/>
    <s v="missing"/>
    <n v="6.479981875"/>
    <n v="1.5414334E-2"/>
    <x v="4"/>
  </r>
  <r>
    <x v="5"/>
    <n v="512"/>
    <n v="512"/>
    <x v="0"/>
    <x v="367"/>
    <n v="1.7164999999999999E-3"/>
    <n v="6"/>
    <s v="missing"/>
    <s v="missing"/>
    <n v="11.572660917"/>
    <n v="1.174E-2"/>
    <x v="4"/>
  </r>
  <r>
    <x v="5"/>
    <n v="512"/>
    <n v="512"/>
    <x v="1"/>
    <x v="367"/>
    <n v="2.2295840000000002E-3"/>
    <n v="10"/>
    <s v="missing"/>
    <s v="missing"/>
    <n v="11.572660917"/>
    <n v="1.174E-2"/>
    <x v="4"/>
  </r>
  <r>
    <x v="5"/>
    <n v="512"/>
    <n v="512"/>
    <x v="2"/>
    <x v="367"/>
    <n v="3.6190829999999999E-3"/>
    <n v="14"/>
    <s v="missing"/>
    <s v="missing"/>
    <n v="11.572660917"/>
    <n v="1.174E-2"/>
    <x v="4"/>
  </r>
  <r>
    <x v="5"/>
    <n v="512"/>
    <n v="512"/>
    <x v="3"/>
    <x v="367"/>
    <n v="4.0465420000000002E-3"/>
    <n v="14"/>
    <s v="missing"/>
    <s v="missing"/>
    <n v="11.572660917"/>
    <n v="1.174E-2"/>
    <x v="4"/>
  </r>
  <r>
    <x v="5"/>
    <n v="512"/>
    <n v="512"/>
    <x v="4"/>
    <x v="367"/>
    <n v="3.28225E-3"/>
    <n v="17"/>
    <s v="missing"/>
    <s v="missing"/>
    <n v="11.572660917"/>
    <n v="1.174E-2"/>
    <x v="4"/>
  </r>
  <r>
    <x v="5"/>
    <n v="512"/>
    <n v="512"/>
    <x v="5"/>
    <x v="367"/>
    <n v="4.1140839999999996E-3"/>
    <n v="17"/>
    <s v="missing"/>
    <s v="missing"/>
    <n v="11.572660917"/>
    <n v="1.174E-2"/>
    <x v="4"/>
  </r>
  <r>
    <x v="5"/>
    <n v="512"/>
    <n v="512"/>
    <x v="6"/>
    <x v="367"/>
    <n v="3.7165420000000002E-3"/>
    <n v="17"/>
    <s v="missing"/>
    <s v="missing"/>
    <n v="11.572660917"/>
    <n v="1.174E-2"/>
    <x v="4"/>
  </r>
  <r>
    <x v="5"/>
    <n v="512"/>
    <n v="512"/>
    <x v="7"/>
    <x v="367"/>
    <n v="4.0101670000000002E-3"/>
    <n v="17"/>
    <s v="missing"/>
    <s v="missing"/>
    <n v="11.572660917"/>
    <n v="1.174E-2"/>
    <x v="4"/>
  </r>
  <r>
    <x v="5"/>
    <n v="512"/>
    <n v="512"/>
    <x v="8"/>
    <x v="367"/>
    <n v="4.8874579999999999E-3"/>
    <n v="17"/>
    <s v="missing"/>
    <s v="missing"/>
    <n v="11.572660917"/>
    <n v="1.174E-2"/>
    <x v="4"/>
  </r>
  <r>
    <x v="5"/>
    <n v="512"/>
    <n v="512"/>
    <x v="9"/>
    <x v="367"/>
    <n v="4.3725839999999997E-3"/>
    <n v="17"/>
    <s v="missing"/>
    <s v="missing"/>
    <n v="11.572660917"/>
    <n v="1.174E-2"/>
    <x v="4"/>
  </r>
  <r>
    <x v="5"/>
    <n v="512"/>
    <n v="512"/>
    <x v="10"/>
    <x v="367"/>
    <n v="4.4347079999999999E-3"/>
    <n v="17"/>
    <s v="missing"/>
    <s v="missing"/>
    <n v="11.572660917"/>
    <n v="1.174E-2"/>
    <x v="4"/>
  </r>
  <r>
    <x v="5"/>
    <n v="512"/>
    <n v="512"/>
    <x v="11"/>
    <x v="367"/>
    <n v="4.1651250000000004E-3"/>
    <n v="17"/>
    <s v="missing"/>
    <s v="missing"/>
    <n v="11.572660917"/>
    <n v="1.174E-2"/>
    <x v="4"/>
  </r>
  <r>
    <x v="5"/>
    <n v="512"/>
    <n v="512"/>
    <x v="12"/>
    <x v="367"/>
    <n v="1.6691583999999999E-2"/>
    <n v="17"/>
    <s v="missing"/>
    <s v="missing"/>
    <n v="11.572660917"/>
    <n v="1.174E-2"/>
    <x v="4"/>
  </r>
  <r>
    <x v="5"/>
    <n v="512"/>
    <n v="512"/>
    <x v="13"/>
    <x v="367"/>
    <n v="3.7976249999999998E-3"/>
    <n v="17"/>
    <s v="missing"/>
    <s v="missing"/>
    <n v="11.572660917"/>
    <n v="1.174E-2"/>
    <x v="4"/>
  </r>
  <r>
    <x v="5"/>
    <n v="512"/>
    <n v="512"/>
    <x v="14"/>
    <x v="367"/>
    <n v="4.1443749999999996E-3"/>
    <n v="17"/>
    <s v="missing"/>
    <s v="missing"/>
    <n v="11.572660917"/>
    <n v="1.174E-2"/>
    <x v="4"/>
  </r>
  <r>
    <x v="5"/>
    <n v="512"/>
    <n v="512"/>
    <x v="15"/>
    <x v="367"/>
    <n v="3.6942500000000001E-3"/>
    <n v="17"/>
    <s v="missing"/>
    <s v="missing"/>
    <n v="11.572660917"/>
    <n v="1.174E-2"/>
    <x v="4"/>
  </r>
  <r>
    <x v="5"/>
    <n v="512"/>
    <n v="512"/>
    <x v="16"/>
    <x v="367"/>
    <n v="4.5137500000000004E-3"/>
    <n v="17"/>
    <s v="missing"/>
    <s v="missing"/>
    <n v="11.572660917"/>
    <n v="1.174E-2"/>
    <x v="4"/>
  </r>
  <r>
    <x v="5"/>
    <n v="512"/>
    <n v="512"/>
    <x v="17"/>
    <x v="367"/>
    <n v="3.5543329999999998E-3"/>
    <n v="17"/>
    <s v="missing"/>
    <s v="missing"/>
    <n v="11.572660917"/>
    <n v="1.174E-2"/>
    <x v="4"/>
  </r>
  <r>
    <x v="5"/>
    <n v="512"/>
    <n v="512"/>
    <x v="18"/>
    <x v="367"/>
    <n v="3.9851670000000004E-3"/>
    <n v="16"/>
    <s v="missing"/>
    <s v="missing"/>
    <n v="11.572660917"/>
    <n v="1.174E-2"/>
    <x v="4"/>
  </r>
  <r>
    <x v="5"/>
    <n v="512"/>
    <n v="512"/>
    <x v="19"/>
    <x v="367"/>
    <n v="3.417167E-3"/>
    <n v="15"/>
    <s v="missing"/>
    <s v="missing"/>
    <n v="11.572660917"/>
    <n v="1.174E-2"/>
    <x v="4"/>
  </r>
  <r>
    <x v="5"/>
    <n v="512"/>
    <n v="512"/>
    <x v="20"/>
    <x v="367"/>
    <n v="4.15775E-3"/>
    <n v="15"/>
    <s v="missing"/>
    <s v="missing"/>
    <n v="11.572660917"/>
    <n v="1.174E-2"/>
    <x v="4"/>
  </r>
  <r>
    <x v="5"/>
    <n v="512"/>
    <n v="512"/>
    <x v="21"/>
    <x v="367"/>
    <n v="3.468208E-3"/>
    <n v="15"/>
    <s v="missing"/>
    <s v="missing"/>
    <n v="11.572660917"/>
    <n v="1.174E-2"/>
    <x v="4"/>
  </r>
  <r>
    <x v="5"/>
    <n v="512"/>
    <n v="512"/>
    <x v="22"/>
    <x v="367"/>
    <n v="3.6299169999999999E-3"/>
    <n v="15"/>
    <s v="missing"/>
    <s v="missing"/>
    <n v="11.572660917"/>
    <n v="1.174E-2"/>
    <x v="4"/>
  </r>
  <r>
    <x v="5"/>
    <n v="512"/>
    <n v="512"/>
    <x v="23"/>
    <x v="367"/>
    <n v="3.2554160000000001E-3"/>
    <n v="15"/>
    <s v="missing"/>
    <s v="missing"/>
    <n v="11.572660917"/>
    <n v="1.174E-2"/>
    <x v="4"/>
  </r>
  <r>
    <x v="5"/>
    <n v="512"/>
    <n v="512"/>
    <x v="24"/>
    <x v="367"/>
    <n v="3.781375E-3"/>
    <n v="15"/>
    <s v="missing"/>
    <s v="missing"/>
    <n v="11.572660917"/>
    <n v="1.174E-2"/>
    <x v="4"/>
  </r>
  <r>
    <x v="5"/>
    <n v="512"/>
    <n v="512"/>
    <x v="25"/>
    <x v="367"/>
    <n v="3.8397919999999999E-3"/>
    <n v="15"/>
    <s v="missing"/>
    <s v="missing"/>
    <n v="11.572660917"/>
    <n v="1.174E-2"/>
    <x v="4"/>
  </r>
  <r>
    <x v="5"/>
    <n v="512"/>
    <n v="512"/>
    <x v="26"/>
    <x v="367"/>
    <n v="3.8288749999999998E-3"/>
    <n v="15"/>
    <s v="missing"/>
    <s v="missing"/>
    <n v="11.572660917"/>
    <n v="1.174E-2"/>
    <x v="4"/>
  </r>
  <r>
    <x v="5"/>
    <n v="512"/>
    <n v="512"/>
    <x v="27"/>
    <x v="367"/>
    <n v="3.3813340000000002E-3"/>
    <n v="15"/>
    <s v="missing"/>
    <s v="missing"/>
    <n v="11.572660917"/>
    <n v="1.174E-2"/>
    <x v="4"/>
  </r>
  <r>
    <x v="5"/>
    <n v="512"/>
    <n v="512"/>
    <x v="28"/>
    <x v="367"/>
    <n v="1.0422625E-2"/>
    <n v="15"/>
    <s v="missing"/>
    <s v="missing"/>
    <n v="11.572660917"/>
    <n v="1.174E-2"/>
    <x v="4"/>
  </r>
  <r>
    <x v="5"/>
    <n v="512"/>
    <n v="512"/>
    <x v="29"/>
    <x v="367"/>
    <n v="3.538125E-3"/>
    <n v="15"/>
    <s v="missing"/>
    <s v="missing"/>
    <n v="11.572660917"/>
    <n v="1.174E-2"/>
    <x v="4"/>
  </r>
  <r>
    <x v="5"/>
    <n v="512"/>
    <n v="512"/>
    <x v="30"/>
    <x v="367"/>
    <n v="3.5282920000000001E-3"/>
    <n v="15"/>
    <s v="missing"/>
    <s v="missing"/>
    <n v="11.572660917"/>
    <n v="1.174E-2"/>
    <x v="4"/>
  </r>
  <r>
    <x v="5"/>
    <n v="512"/>
    <n v="512"/>
    <x v="31"/>
    <x v="367"/>
    <n v="3.1782920000000001E-3"/>
    <n v="15"/>
    <s v="missing"/>
    <s v="missing"/>
    <n v="11.572660917"/>
    <n v="1.174E-2"/>
    <x v="4"/>
  </r>
  <r>
    <x v="5"/>
    <n v="512"/>
    <n v="512"/>
    <x v="32"/>
    <x v="367"/>
    <n v="3.6784589999999998E-3"/>
    <n v="15"/>
    <s v="missing"/>
    <s v="missing"/>
    <n v="11.572660917"/>
    <n v="1.174E-2"/>
    <x v="4"/>
  </r>
  <r>
    <x v="5"/>
    <n v="512"/>
    <n v="512"/>
    <x v="33"/>
    <x v="367"/>
    <n v="3.3504580000000002E-3"/>
    <n v="15"/>
    <s v="missing"/>
    <s v="missing"/>
    <n v="11.572660917"/>
    <n v="1.174E-2"/>
    <x v="4"/>
  </r>
  <r>
    <x v="5"/>
    <n v="512"/>
    <n v="512"/>
    <x v="34"/>
    <x v="367"/>
    <n v="3.6037920000000002E-3"/>
    <n v="15"/>
    <s v="missing"/>
    <s v="missing"/>
    <n v="11.572660917"/>
    <n v="1.174E-2"/>
    <x v="4"/>
  </r>
  <r>
    <x v="5"/>
    <n v="512"/>
    <n v="512"/>
    <x v="35"/>
    <x v="367"/>
    <n v="3.349E-3"/>
    <n v="15"/>
    <s v="missing"/>
    <s v="missing"/>
    <n v="11.572660917"/>
    <n v="1.174E-2"/>
    <x v="4"/>
  </r>
  <r>
    <x v="5"/>
    <n v="512"/>
    <n v="512"/>
    <x v="36"/>
    <x v="367"/>
    <n v="3.730667E-3"/>
    <n v="15"/>
    <s v="missing"/>
    <s v="missing"/>
    <n v="11.572660917"/>
    <n v="1.174E-2"/>
    <x v="4"/>
  </r>
  <r>
    <x v="5"/>
    <n v="512"/>
    <n v="512"/>
    <x v="37"/>
    <x v="367"/>
    <n v="3.3372499999999999E-3"/>
    <n v="15"/>
    <s v="missing"/>
    <s v="missing"/>
    <n v="11.572660917"/>
    <n v="1.174E-2"/>
    <x v="4"/>
  </r>
  <r>
    <x v="5"/>
    <n v="512"/>
    <n v="512"/>
    <x v="38"/>
    <x v="367"/>
    <n v="3.4085830000000002E-3"/>
    <n v="15"/>
    <s v="missing"/>
    <s v="missing"/>
    <n v="11.572660917"/>
    <n v="1.174E-2"/>
    <x v="4"/>
  </r>
  <r>
    <x v="5"/>
    <n v="512"/>
    <n v="512"/>
    <x v="39"/>
    <x v="367"/>
    <n v="3.25275E-3"/>
    <n v="15"/>
    <s v="missing"/>
    <s v="missing"/>
    <n v="11.572660917"/>
    <n v="1.174E-2"/>
    <x v="4"/>
  </r>
  <r>
    <x v="5"/>
    <n v="512"/>
    <n v="512"/>
    <x v="40"/>
    <x v="367"/>
    <n v="3.7229590000000001E-3"/>
    <n v="15"/>
    <s v="missing"/>
    <s v="missing"/>
    <n v="11.572660917"/>
    <n v="1.174E-2"/>
    <x v="4"/>
  </r>
  <r>
    <x v="5"/>
    <n v="512"/>
    <n v="512"/>
    <x v="41"/>
    <x v="367"/>
    <n v="3.1578750000000001E-3"/>
    <n v="15"/>
    <s v="missing"/>
    <s v="missing"/>
    <n v="11.572660917"/>
    <n v="1.174E-2"/>
    <x v="4"/>
  </r>
  <r>
    <x v="5"/>
    <n v="512"/>
    <n v="512"/>
    <x v="42"/>
    <x v="367"/>
    <n v="3.5378330000000002E-3"/>
    <n v="15"/>
    <s v="missing"/>
    <s v="missing"/>
    <n v="11.572660917"/>
    <n v="1.174E-2"/>
    <x v="4"/>
  </r>
  <r>
    <x v="5"/>
    <n v="512"/>
    <n v="512"/>
    <x v="43"/>
    <x v="367"/>
    <n v="3.3207919999999999E-3"/>
    <n v="15"/>
    <s v="missing"/>
    <s v="missing"/>
    <n v="11.572660917"/>
    <n v="1.174E-2"/>
    <x v="4"/>
  </r>
  <r>
    <x v="5"/>
    <n v="512"/>
    <n v="512"/>
    <x v="44"/>
    <x v="367"/>
    <n v="3.8085829999999999E-3"/>
    <n v="15"/>
    <s v="missing"/>
    <s v="missing"/>
    <n v="11.572660917"/>
    <n v="1.174E-2"/>
    <x v="4"/>
  </r>
  <r>
    <x v="5"/>
    <n v="512"/>
    <n v="512"/>
    <x v="45"/>
    <x v="367"/>
    <n v="7.538042E-3"/>
    <n v="14"/>
    <s v="missing"/>
    <s v="missing"/>
    <n v="11.572660917"/>
    <n v="1.174E-2"/>
    <x v="4"/>
  </r>
  <r>
    <x v="5"/>
    <n v="512"/>
    <n v="512"/>
    <x v="46"/>
    <x v="367"/>
    <n v="3.2817079999999999E-3"/>
    <n v="14"/>
    <s v="missing"/>
    <s v="missing"/>
    <n v="11.572660917"/>
    <n v="1.174E-2"/>
    <x v="4"/>
  </r>
  <r>
    <x v="5"/>
    <n v="512"/>
    <n v="512"/>
    <x v="47"/>
    <x v="367"/>
    <n v="3.5010420000000002E-3"/>
    <n v="14"/>
    <s v="missing"/>
    <s v="missing"/>
    <n v="11.572660917"/>
    <n v="1.174E-2"/>
    <x v="4"/>
  </r>
  <r>
    <x v="5"/>
    <n v="512"/>
    <n v="512"/>
    <x v="48"/>
    <x v="367"/>
    <n v="2.9514580000000001E-3"/>
    <n v="14"/>
    <s v="missing"/>
    <s v="missing"/>
    <n v="11.572660917"/>
    <n v="1.174E-2"/>
    <x v="4"/>
  </r>
  <r>
    <x v="5"/>
    <n v="512"/>
    <n v="512"/>
    <x v="49"/>
    <x v="367"/>
    <n v="3.1960000000000001E-3"/>
    <n v="14"/>
    <s v="missing"/>
    <s v="missing"/>
    <n v="11.572660917"/>
    <n v="1.174E-2"/>
    <x v="4"/>
  </r>
  <r>
    <x v="5"/>
    <n v="512"/>
    <n v="512"/>
    <x v="50"/>
    <x v="367"/>
    <n v="3.1384170000000001E-3"/>
    <n v="14"/>
    <s v="missing"/>
    <s v="missing"/>
    <n v="11.572660917"/>
    <n v="1.174E-2"/>
    <x v="4"/>
  </r>
  <r>
    <x v="5"/>
    <n v="512"/>
    <n v="512"/>
    <x v="51"/>
    <x v="367"/>
    <n v="3.2478749999999999E-3"/>
    <n v="14"/>
    <s v="missing"/>
    <s v="missing"/>
    <n v="11.572660917"/>
    <n v="1.174E-2"/>
    <x v="4"/>
  </r>
  <r>
    <x v="5"/>
    <n v="512"/>
    <n v="512"/>
    <x v="52"/>
    <x v="367"/>
    <n v="3.0926249999999999E-3"/>
    <n v="14"/>
    <s v="missing"/>
    <s v="missing"/>
    <n v="11.572660917"/>
    <n v="1.174E-2"/>
    <x v="4"/>
  </r>
  <r>
    <x v="5"/>
    <n v="512"/>
    <n v="512"/>
    <x v="53"/>
    <x v="367"/>
    <n v="3.1136250000000001E-3"/>
    <n v="14"/>
    <s v="missing"/>
    <s v="missing"/>
    <n v="11.572660917"/>
    <n v="1.174E-2"/>
    <x v="4"/>
  </r>
  <r>
    <x v="5"/>
    <n v="512"/>
    <n v="512"/>
    <x v="54"/>
    <x v="367"/>
    <n v="2.9906669999999998E-3"/>
    <n v="14"/>
    <s v="missing"/>
    <s v="missing"/>
    <n v="11.572660917"/>
    <n v="1.174E-2"/>
    <x v="4"/>
  </r>
  <r>
    <x v="5"/>
    <n v="512"/>
    <n v="512"/>
    <x v="55"/>
    <x v="367"/>
    <n v="3.1329169999999998E-3"/>
    <n v="14"/>
    <s v="missing"/>
    <s v="missing"/>
    <n v="11.572660917"/>
    <n v="1.174E-2"/>
    <x v="4"/>
  </r>
  <r>
    <x v="5"/>
    <n v="512"/>
    <n v="512"/>
    <x v="56"/>
    <x v="367"/>
    <n v="3.073583E-3"/>
    <n v="14"/>
    <s v="missing"/>
    <s v="missing"/>
    <n v="11.572660917"/>
    <n v="1.174E-2"/>
    <x v="4"/>
  </r>
  <r>
    <x v="5"/>
    <n v="512"/>
    <n v="512"/>
    <x v="57"/>
    <x v="367"/>
    <n v="3.1746249999999999E-3"/>
    <n v="14"/>
    <s v="missing"/>
    <s v="missing"/>
    <n v="11.572660917"/>
    <n v="1.174E-2"/>
    <x v="4"/>
  </r>
  <r>
    <x v="5"/>
    <n v="512"/>
    <n v="512"/>
    <x v="58"/>
    <x v="367"/>
    <n v="2.9866250000000001E-3"/>
    <n v="14"/>
    <s v="missing"/>
    <s v="missing"/>
    <n v="11.572660917"/>
    <n v="1.174E-2"/>
    <x v="4"/>
  </r>
  <r>
    <x v="5"/>
    <n v="512"/>
    <n v="512"/>
    <x v="59"/>
    <x v="367"/>
    <n v="3.0007079999999999E-3"/>
    <n v="14"/>
    <s v="missing"/>
    <s v="missing"/>
    <n v="11.572660917"/>
    <n v="1.174E-2"/>
    <x v="4"/>
  </r>
  <r>
    <x v="5"/>
    <n v="512"/>
    <n v="512"/>
    <x v="60"/>
    <x v="367"/>
    <n v="3.0061670000000001E-3"/>
    <n v="14"/>
    <s v="missing"/>
    <s v="missing"/>
    <n v="11.572660917"/>
    <n v="1.174E-2"/>
    <x v="4"/>
  </r>
  <r>
    <x v="5"/>
    <n v="512"/>
    <n v="512"/>
    <x v="61"/>
    <x v="367"/>
    <n v="3.189917E-3"/>
    <n v="14"/>
    <s v="missing"/>
    <s v="missing"/>
    <n v="11.572660917"/>
    <n v="1.174E-2"/>
    <x v="4"/>
  </r>
  <r>
    <x v="5"/>
    <n v="512"/>
    <n v="512"/>
    <x v="62"/>
    <x v="367"/>
    <n v="3.0466249999999999E-3"/>
    <n v="14"/>
    <s v="missing"/>
    <s v="missing"/>
    <n v="11.572660917"/>
    <n v="1.174E-2"/>
    <x v="4"/>
  </r>
  <r>
    <x v="5"/>
    <n v="512"/>
    <n v="512"/>
    <x v="63"/>
    <x v="367"/>
    <n v="7.0732920000000001E-3"/>
    <n v="14"/>
    <s v="missing"/>
    <s v="missing"/>
    <n v="11.572660917"/>
    <n v="1.174E-2"/>
    <x v="4"/>
  </r>
  <r>
    <x v="5"/>
    <n v="512"/>
    <n v="512"/>
    <x v="64"/>
    <x v="367"/>
    <n v="3.0236249999999998E-3"/>
    <n v="14"/>
    <s v="missing"/>
    <s v="missing"/>
    <n v="11.572660917"/>
    <n v="1.174E-2"/>
    <x v="4"/>
  </r>
  <r>
    <x v="5"/>
    <n v="512"/>
    <n v="512"/>
    <x v="65"/>
    <x v="367"/>
    <n v="3.1619999999999999E-3"/>
    <n v="14"/>
    <s v="missing"/>
    <s v="missing"/>
    <n v="11.572660917"/>
    <n v="1.174E-2"/>
    <x v="4"/>
  </r>
  <r>
    <x v="5"/>
    <n v="512"/>
    <n v="512"/>
    <x v="66"/>
    <x v="367"/>
    <n v="3.2740410000000001E-3"/>
    <n v="14"/>
    <s v="missing"/>
    <s v="missing"/>
    <n v="11.572660917"/>
    <n v="1.174E-2"/>
    <x v="4"/>
  </r>
  <r>
    <x v="5"/>
    <n v="512"/>
    <n v="512"/>
    <x v="67"/>
    <x v="367"/>
    <n v="3.5049159999999998E-3"/>
    <n v="14"/>
    <s v="missing"/>
    <s v="missing"/>
    <n v="11.572660917"/>
    <n v="1.174E-2"/>
    <x v="4"/>
  </r>
  <r>
    <x v="5"/>
    <n v="512"/>
    <n v="512"/>
    <x v="68"/>
    <x v="367"/>
    <n v="2.9238329999999998E-3"/>
    <n v="14"/>
    <s v="missing"/>
    <s v="missing"/>
    <n v="11.572660917"/>
    <n v="1.174E-2"/>
    <x v="4"/>
  </r>
  <r>
    <x v="5"/>
    <n v="512"/>
    <n v="512"/>
    <x v="69"/>
    <x v="367"/>
    <n v="3.3981250000000001E-3"/>
    <n v="14"/>
    <s v="missing"/>
    <s v="missing"/>
    <n v="11.572660917"/>
    <n v="1.174E-2"/>
    <x v="4"/>
  </r>
  <r>
    <x v="5"/>
    <n v="512"/>
    <n v="512"/>
    <x v="70"/>
    <x v="367"/>
    <n v="3.037709E-3"/>
    <n v="14"/>
    <s v="missing"/>
    <s v="missing"/>
    <n v="11.572660917"/>
    <n v="1.174E-2"/>
    <x v="4"/>
  </r>
  <r>
    <x v="5"/>
    <n v="512"/>
    <n v="512"/>
    <x v="71"/>
    <x v="367"/>
    <n v="3.4750419999999998E-3"/>
    <n v="14"/>
    <s v="missing"/>
    <s v="missing"/>
    <n v="11.572660917"/>
    <n v="1.174E-2"/>
    <x v="4"/>
  </r>
  <r>
    <x v="5"/>
    <n v="512"/>
    <n v="512"/>
    <x v="72"/>
    <x v="367"/>
    <n v="3.5179159999999998E-3"/>
    <n v="14"/>
    <s v="missing"/>
    <s v="missing"/>
    <n v="11.572660917"/>
    <n v="1.174E-2"/>
    <x v="4"/>
  </r>
  <r>
    <x v="5"/>
    <n v="512"/>
    <n v="512"/>
    <x v="73"/>
    <x v="367"/>
    <n v="3.553708E-3"/>
    <n v="14"/>
    <s v="missing"/>
    <s v="missing"/>
    <n v="11.572660917"/>
    <n v="1.174E-2"/>
    <x v="4"/>
  </r>
  <r>
    <x v="5"/>
    <n v="512"/>
    <n v="512"/>
    <x v="74"/>
    <x v="367"/>
    <n v="3.2817499999999999E-3"/>
    <n v="14"/>
    <s v="missing"/>
    <s v="missing"/>
    <n v="11.572660917"/>
    <n v="1.174E-2"/>
    <x v="4"/>
  </r>
  <r>
    <x v="5"/>
    <n v="512"/>
    <n v="512"/>
    <x v="75"/>
    <x v="367"/>
    <n v="3.227583E-3"/>
    <n v="14"/>
    <s v="missing"/>
    <s v="missing"/>
    <n v="11.572660917"/>
    <n v="1.174E-2"/>
    <x v="4"/>
  </r>
  <r>
    <x v="5"/>
    <n v="512"/>
    <n v="512"/>
    <x v="76"/>
    <x v="367"/>
    <n v="2.8800420000000002E-3"/>
    <n v="14"/>
    <s v="missing"/>
    <s v="missing"/>
    <n v="11.572660917"/>
    <n v="1.174E-2"/>
    <x v="4"/>
  </r>
  <r>
    <x v="5"/>
    <n v="512"/>
    <n v="512"/>
    <x v="77"/>
    <x v="367"/>
    <n v="3.1421660000000001E-3"/>
    <n v="14"/>
    <s v="missing"/>
    <s v="missing"/>
    <n v="11.572660917"/>
    <n v="1.174E-2"/>
    <x v="4"/>
  </r>
  <r>
    <x v="5"/>
    <n v="512"/>
    <n v="512"/>
    <x v="78"/>
    <x v="367"/>
    <n v="2.970833E-3"/>
    <n v="14"/>
    <s v="missing"/>
    <s v="missing"/>
    <n v="11.572660917"/>
    <n v="1.174E-2"/>
    <x v="4"/>
  </r>
  <r>
    <x v="5"/>
    <n v="512"/>
    <n v="512"/>
    <x v="79"/>
    <x v="367"/>
    <n v="3.401959E-3"/>
    <n v="14"/>
    <s v="missing"/>
    <s v="missing"/>
    <n v="11.572660917"/>
    <n v="1.174E-2"/>
    <x v="4"/>
  </r>
  <r>
    <x v="5"/>
    <n v="512"/>
    <n v="512"/>
    <x v="80"/>
    <x v="367"/>
    <n v="2.9624170000000002E-3"/>
    <n v="14"/>
    <s v="missing"/>
    <s v="missing"/>
    <n v="11.572660917"/>
    <n v="1.174E-2"/>
    <x v="4"/>
  </r>
  <r>
    <x v="5"/>
    <n v="512"/>
    <n v="512"/>
    <x v="81"/>
    <x v="367"/>
    <n v="3.2169999999999998E-3"/>
    <n v="14"/>
    <s v="missing"/>
    <s v="missing"/>
    <n v="11.572660917"/>
    <n v="1.174E-2"/>
    <x v="4"/>
  </r>
  <r>
    <x v="5"/>
    <n v="512"/>
    <n v="512"/>
    <x v="82"/>
    <x v="367"/>
    <n v="7.5225420000000001E-3"/>
    <n v="14"/>
    <s v="missing"/>
    <s v="missing"/>
    <n v="11.572660917"/>
    <n v="1.174E-2"/>
    <x v="4"/>
  </r>
  <r>
    <x v="5"/>
    <n v="512"/>
    <n v="512"/>
    <x v="83"/>
    <x v="367"/>
    <n v="2.9104999999999999E-3"/>
    <n v="14"/>
    <s v="missing"/>
    <s v="missing"/>
    <n v="11.572660917"/>
    <n v="1.174E-2"/>
    <x v="4"/>
  </r>
  <r>
    <x v="5"/>
    <n v="512"/>
    <n v="512"/>
    <x v="84"/>
    <x v="367"/>
    <n v="3.3687919999999998E-3"/>
    <n v="14"/>
    <s v="missing"/>
    <s v="missing"/>
    <n v="11.572660917"/>
    <n v="1.174E-2"/>
    <x v="4"/>
  </r>
  <r>
    <x v="5"/>
    <n v="512"/>
    <n v="512"/>
    <x v="85"/>
    <x v="367"/>
    <n v="3.086334E-3"/>
    <n v="14"/>
    <s v="missing"/>
    <s v="missing"/>
    <n v="11.572660917"/>
    <n v="1.174E-2"/>
    <x v="4"/>
  </r>
  <r>
    <x v="5"/>
    <n v="512"/>
    <n v="512"/>
    <x v="86"/>
    <x v="367"/>
    <n v="3.1492500000000001E-3"/>
    <n v="14"/>
    <s v="missing"/>
    <s v="missing"/>
    <n v="11.572660917"/>
    <n v="1.174E-2"/>
    <x v="4"/>
  </r>
  <r>
    <x v="5"/>
    <n v="512"/>
    <n v="512"/>
    <x v="87"/>
    <x v="367"/>
    <n v="3.0899999999999999E-3"/>
    <n v="14"/>
    <s v="missing"/>
    <s v="missing"/>
    <n v="11.572660917"/>
    <n v="1.174E-2"/>
    <x v="4"/>
  </r>
  <r>
    <x v="5"/>
    <n v="512"/>
    <n v="512"/>
    <x v="88"/>
    <x v="367"/>
    <n v="2.95525E-3"/>
    <n v="14"/>
    <s v="missing"/>
    <s v="missing"/>
    <n v="11.572660917"/>
    <n v="1.174E-2"/>
    <x v="4"/>
  </r>
  <r>
    <x v="5"/>
    <n v="512"/>
    <n v="512"/>
    <x v="89"/>
    <x v="367"/>
    <n v="2.912417E-3"/>
    <n v="14"/>
    <s v="missing"/>
    <s v="missing"/>
    <n v="11.572660917"/>
    <n v="1.174E-2"/>
    <x v="4"/>
  </r>
  <r>
    <x v="5"/>
    <n v="512"/>
    <n v="512"/>
    <x v="90"/>
    <x v="367"/>
    <n v="3.1099999999999999E-3"/>
    <n v="14"/>
    <s v="missing"/>
    <s v="missing"/>
    <n v="11.572660917"/>
    <n v="1.174E-2"/>
    <x v="4"/>
  </r>
  <r>
    <x v="5"/>
    <n v="512"/>
    <n v="512"/>
    <x v="91"/>
    <x v="367"/>
    <n v="2.9512499999999999E-3"/>
    <n v="14"/>
    <s v="missing"/>
    <s v="missing"/>
    <n v="11.572660917"/>
    <n v="1.174E-2"/>
    <x v="4"/>
  </r>
  <r>
    <x v="5"/>
    <n v="512"/>
    <n v="512"/>
    <x v="92"/>
    <x v="367"/>
    <n v="2.9627080000000001E-3"/>
    <n v="14"/>
    <s v="missing"/>
    <s v="missing"/>
    <n v="11.572660917"/>
    <n v="1.174E-2"/>
    <x v="4"/>
  </r>
  <r>
    <x v="5"/>
    <n v="512"/>
    <n v="512"/>
    <x v="93"/>
    <x v="367"/>
    <n v="2.9564579999999999E-3"/>
    <n v="14"/>
    <s v="missing"/>
    <s v="missing"/>
    <n v="11.572660917"/>
    <n v="1.174E-2"/>
    <x v="4"/>
  </r>
  <r>
    <x v="5"/>
    <n v="512"/>
    <n v="512"/>
    <x v="94"/>
    <x v="367"/>
    <n v="2.973917E-3"/>
    <n v="14"/>
    <s v="missing"/>
    <s v="missing"/>
    <n v="11.572660917"/>
    <n v="1.174E-2"/>
    <x v="4"/>
  </r>
  <r>
    <x v="5"/>
    <n v="512"/>
    <n v="512"/>
    <x v="95"/>
    <x v="367"/>
    <n v="3.0466669999999999E-3"/>
    <n v="14"/>
    <s v="missing"/>
    <s v="missing"/>
    <n v="11.572660917"/>
    <n v="1.174E-2"/>
    <x v="4"/>
  </r>
  <r>
    <x v="5"/>
    <n v="512"/>
    <n v="512"/>
    <x v="96"/>
    <x v="367"/>
    <n v="2.8242499999999999E-3"/>
    <n v="14"/>
    <s v="missing"/>
    <s v="missing"/>
    <n v="11.572660917"/>
    <n v="1.174E-2"/>
    <x v="4"/>
  </r>
  <r>
    <x v="5"/>
    <n v="512"/>
    <n v="512"/>
    <x v="97"/>
    <x v="367"/>
    <n v="2.7886249999999999E-3"/>
    <n v="14"/>
    <s v="missing"/>
    <s v="missing"/>
    <n v="11.572660917"/>
    <n v="1.174E-2"/>
    <x v="4"/>
  </r>
  <r>
    <x v="5"/>
    <n v="512"/>
    <n v="512"/>
    <x v="98"/>
    <x v="367"/>
    <n v="2.9787910000000002E-3"/>
    <n v="14"/>
    <s v="missing"/>
    <s v="missing"/>
    <n v="11.572660917"/>
    <n v="1.174E-2"/>
    <x v="4"/>
  </r>
  <r>
    <x v="5"/>
    <n v="512"/>
    <n v="512"/>
    <x v="99"/>
    <x v="367"/>
    <n v="3.0737500000000001E-3"/>
    <n v="14"/>
    <s v="missing"/>
    <s v="missing"/>
    <n v="11.572660917"/>
    <n v="1.174E-2"/>
    <x v="4"/>
  </r>
  <r>
    <x v="6"/>
    <n v="1024"/>
    <n v="1024"/>
    <x v="0"/>
    <x v="367"/>
    <n v="1.9624579999999998E-3"/>
    <n v="6"/>
    <s v="missing"/>
    <s v="missing"/>
    <n v="30.249577333000001"/>
    <n v="1.3077625000000001E-2"/>
    <x v="4"/>
  </r>
  <r>
    <x v="6"/>
    <n v="1024"/>
    <n v="1024"/>
    <x v="1"/>
    <x v="367"/>
    <n v="2.530334E-3"/>
    <n v="10"/>
    <s v="missing"/>
    <s v="missing"/>
    <n v="30.249577333000001"/>
    <n v="1.3077625000000001E-2"/>
    <x v="4"/>
  </r>
  <r>
    <x v="6"/>
    <n v="1024"/>
    <n v="1024"/>
    <x v="2"/>
    <x v="367"/>
    <n v="3.457875E-3"/>
    <n v="14"/>
    <s v="missing"/>
    <s v="missing"/>
    <n v="30.249577333000001"/>
    <n v="1.3077625000000001E-2"/>
    <x v="4"/>
  </r>
  <r>
    <x v="6"/>
    <n v="1024"/>
    <n v="1024"/>
    <x v="3"/>
    <x v="367"/>
    <n v="4.3383340000000001E-3"/>
    <n v="14"/>
    <s v="missing"/>
    <s v="missing"/>
    <n v="30.249577333000001"/>
    <n v="1.3077625000000001E-2"/>
    <x v="4"/>
  </r>
  <r>
    <x v="6"/>
    <n v="1024"/>
    <n v="1024"/>
    <x v="4"/>
    <x v="367"/>
    <n v="2.2520917000000001E-2"/>
    <n v="17"/>
    <s v="missing"/>
    <s v="missing"/>
    <n v="30.249577333000001"/>
    <n v="1.3077625000000001E-2"/>
    <x v="4"/>
  </r>
  <r>
    <x v="6"/>
    <n v="1024"/>
    <n v="1024"/>
    <x v="5"/>
    <x v="367"/>
    <n v="4.3381660000000001E-3"/>
    <n v="17"/>
    <s v="missing"/>
    <s v="missing"/>
    <n v="30.249577333000001"/>
    <n v="1.3077625000000001E-2"/>
    <x v="4"/>
  </r>
  <r>
    <x v="6"/>
    <n v="1024"/>
    <n v="1024"/>
    <x v="6"/>
    <x v="367"/>
    <n v="4.3478329999999997E-3"/>
    <n v="17"/>
    <s v="missing"/>
    <s v="missing"/>
    <n v="30.249577333000001"/>
    <n v="1.3077625000000001E-2"/>
    <x v="4"/>
  </r>
  <r>
    <x v="6"/>
    <n v="1024"/>
    <n v="1024"/>
    <x v="7"/>
    <x v="367"/>
    <n v="4.6342909999999996E-3"/>
    <n v="17"/>
    <s v="missing"/>
    <s v="missing"/>
    <n v="30.249577333000001"/>
    <n v="1.3077625000000001E-2"/>
    <x v="4"/>
  </r>
  <r>
    <x v="6"/>
    <n v="1024"/>
    <n v="1024"/>
    <x v="8"/>
    <x v="367"/>
    <n v="5.0770829999999996E-3"/>
    <n v="17"/>
    <s v="missing"/>
    <s v="missing"/>
    <n v="30.249577333000001"/>
    <n v="1.3077625000000001E-2"/>
    <x v="4"/>
  </r>
  <r>
    <x v="6"/>
    <n v="1024"/>
    <n v="1024"/>
    <x v="9"/>
    <x v="367"/>
    <n v="5.3521660000000002E-3"/>
    <n v="17"/>
    <s v="missing"/>
    <s v="missing"/>
    <n v="30.249577333000001"/>
    <n v="1.3077625000000001E-2"/>
    <x v="4"/>
  </r>
  <r>
    <x v="6"/>
    <n v="1024"/>
    <n v="1024"/>
    <x v="10"/>
    <x v="367"/>
    <n v="4.8020830000000004E-3"/>
    <n v="17"/>
    <s v="missing"/>
    <s v="missing"/>
    <n v="30.249577333000001"/>
    <n v="1.3077625000000001E-2"/>
    <x v="4"/>
  </r>
  <r>
    <x v="6"/>
    <n v="1024"/>
    <n v="1024"/>
    <x v="11"/>
    <x v="367"/>
    <n v="4.6327920000000002E-3"/>
    <n v="17"/>
    <s v="missing"/>
    <s v="missing"/>
    <n v="30.249577333000001"/>
    <n v="1.3077625000000001E-2"/>
    <x v="4"/>
  </r>
  <r>
    <x v="6"/>
    <n v="1024"/>
    <n v="1024"/>
    <x v="12"/>
    <x v="367"/>
    <n v="4.8413750000000002E-3"/>
    <n v="17"/>
    <s v="missing"/>
    <s v="missing"/>
    <n v="30.249577333000001"/>
    <n v="1.3077625000000001E-2"/>
    <x v="4"/>
  </r>
  <r>
    <x v="6"/>
    <n v="1024"/>
    <n v="1024"/>
    <x v="13"/>
    <x v="367"/>
    <n v="4.8522080000000002E-3"/>
    <n v="17"/>
    <s v="missing"/>
    <s v="missing"/>
    <n v="30.249577333000001"/>
    <n v="1.3077625000000001E-2"/>
    <x v="4"/>
  </r>
  <r>
    <x v="6"/>
    <n v="1024"/>
    <n v="1024"/>
    <x v="14"/>
    <x v="367"/>
    <n v="4.5043339999999996E-3"/>
    <n v="17"/>
    <s v="missing"/>
    <s v="missing"/>
    <n v="30.249577333000001"/>
    <n v="1.3077625000000001E-2"/>
    <x v="4"/>
  </r>
  <r>
    <x v="6"/>
    <n v="1024"/>
    <n v="1024"/>
    <x v="15"/>
    <x v="367"/>
    <n v="5.4450419999999998E-3"/>
    <n v="17"/>
    <s v="missing"/>
    <s v="missing"/>
    <n v="30.249577333000001"/>
    <n v="1.3077625000000001E-2"/>
    <x v="4"/>
  </r>
  <r>
    <x v="6"/>
    <n v="1024"/>
    <n v="1024"/>
    <x v="16"/>
    <x v="367"/>
    <n v="1.4132583000000001E-2"/>
    <n v="17"/>
    <s v="missing"/>
    <s v="missing"/>
    <n v="30.249577333000001"/>
    <n v="1.3077625000000001E-2"/>
    <x v="4"/>
  </r>
  <r>
    <x v="6"/>
    <n v="1024"/>
    <n v="1024"/>
    <x v="17"/>
    <x v="367"/>
    <n v="4.6136670000000001E-3"/>
    <n v="17"/>
    <s v="missing"/>
    <s v="missing"/>
    <n v="30.249577333000001"/>
    <n v="1.3077625000000001E-2"/>
    <x v="4"/>
  </r>
  <r>
    <x v="6"/>
    <n v="1024"/>
    <n v="1024"/>
    <x v="18"/>
    <x v="367"/>
    <n v="4.5901249999999996E-3"/>
    <n v="16"/>
    <s v="missing"/>
    <s v="missing"/>
    <n v="30.249577333000001"/>
    <n v="1.3077625000000001E-2"/>
    <x v="4"/>
  </r>
  <r>
    <x v="6"/>
    <n v="1024"/>
    <n v="1024"/>
    <x v="19"/>
    <x v="367"/>
    <n v="5.0534999999999998E-3"/>
    <n v="15"/>
    <s v="missing"/>
    <s v="missing"/>
    <n v="30.249577333000001"/>
    <n v="1.3077625000000001E-2"/>
    <x v="4"/>
  </r>
  <r>
    <x v="6"/>
    <n v="1024"/>
    <n v="1024"/>
    <x v="20"/>
    <x v="367"/>
    <n v="4.0772919999999997E-3"/>
    <n v="15"/>
    <s v="missing"/>
    <s v="missing"/>
    <n v="30.249577333000001"/>
    <n v="1.3077625000000001E-2"/>
    <x v="4"/>
  </r>
  <r>
    <x v="6"/>
    <n v="1024"/>
    <n v="1024"/>
    <x v="21"/>
    <x v="367"/>
    <n v="4.7422499999999999E-3"/>
    <n v="15"/>
    <s v="missing"/>
    <s v="missing"/>
    <n v="30.249577333000001"/>
    <n v="1.3077625000000001E-2"/>
    <x v="4"/>
  </r>
  <r>
    <x v="6"/>
    <n v="1024"/>
    <n v="1024"/>
    <x v="22"/>
    <x v="367"/>
    <n v="4.0829159999999998E-3"/>
    <n v="15"/>
    <s v="missing"/>
    <s v="missing"/>
    <n v="30.249577333000001"/>
    <n v="1.3077625000000001E-2"/>
    <x v="4"/>
  </r>
  <r>
    <x v="6"/>
    <n v="1024"/>
    <n v="1024"/>
    <x v="23"/>
    <x v="367"/>
    <n v="4.1235000000000004E-3"/>
    <n v="15"/>
    <s v="missing"/>
    <s v="missing"/>
    <n v="30.249577333000001"/>
    <n v="1.3077625000000001E-2"/>
    <x v="4"/>
  </r>
  <r>
    <x v="6"/>
    <n v="1024"/>
    <n v="1024"/>
    <x v="24"/>
    <x v="367"/>
    <n v="4.4285000000000001E-3"/>
    <n v="15"/>
    <s v="missing"/>
    <s v="missing"/>
    <n v="30.249577333000001"/>
    <n v="1.3077625000000001E-2"/>
    <x v="4"/>
  </r>
  <r>
    <x v="6"/>
    <n v="1024"/>
    <n v="1024"/>
    <x v="25"/>
    <x v="367"/>
    <n v="4.4911250000000003E-3"/>
    <n v="15"/>
    <s v="missing"/>
    <s v="missing"/>
    <n v="30.249577333000001"/>
    <n v="1.3077625000000001E-2"/>
    <x v="4"/>
  </r>
  <r>
    <x v="6"/>
    <n v="1024"/>
    <n v="1024"/>
    <x v="26"/>
    <x v="367"/>
    <n v="4.0683339999999998E-3"/>
    <n v="15"/>
    <s v="missing"/>
    <s v="missing"/>
    <n v="30.249577333000001"/>
    <n v="1.3077625000000001E-2"/>
    <x v="4"/>
  </r>
  <r>
    <x v="6"/>
    <n v="1024"/>
    <n v="1024"/>
    <x v="27"/>
    <x v="367"/>
    <n v="4.4727919999999997E-3"/>
    <n v="15"/>
    <s v="missing"/>
    <s v="missing"/>
    <n v="30.249577333000001"/>
    <n v="1.3077625000000001E-2"/>
    <x v="4"/>
  </r>
  <r>
    <x v="6"/>
    <n v="1024"/>
    <n v="1024"/>
    <x v="28"/>
    <x v="367"/>
    <n v="4.2106670000000004E-3"/>
    <n v="15"/>
    <s v="missing"/>
    <s v="missing"/>
    <n v="30.249577333000001"/>
    <n v="1.3077625000000001E-2"/>
    <x v="4"/>
  </r>
  <r>
    <x v="6"/>
    <n v="1024"/>
    <n v="1024"/>
    <x v="29"/>
    <x v="367"/>
    <n v="5.1416250000000004E-3"/>
    <n v="15"/>
    <s v="missing"/>
    <s v="missing"/>
    <n v="30.249577333000001"/>
    <n v="1.3077625000000001E-2"/>
    <x v="4"/>
  </r>
  <r>
    <x v="6"/>
    <n v="1024"/>
    <n v="1024"/>
    <x v="30"/>
    <x v="367"/>
    <n v="8.1905410000000008E-3"/>
    <n v="15"/>
    <s v="missing"/>
    <s v="missing"/>
    <n v="30.249577333000001"/>
    <n v="1.3077625000000001E-2"/>
    <x v="4"/>
  </r>
  <r>
    <x v="6"/>
    <n v="1024"/>
    <n v="1024"/>
    <x v="31"/>
    <x v="367"/>
    <n v="4.4682080000000004E-3"/>
    <n v="15"/>
    <s v="missing"/>
    <s v="missing"/>
    <n v="30.249577333000001"/>
    <n v="1.3077625000000001E-2"/>
    <x v="4"/>
  </r>
  <r>
    <x v="6"/>
    <n v="1024"/>
    <n v="1024"/>
    <x v="32"/>
    <x v="367"/>
    <n v="3.9290419999999998E-3"/>
    <n v="15"/>
    <s v="missing"/>
    <s v="missing"/>
    <n v="30.249577333000001"/>
    <n v="1.3077625000000001E-2"/>
    <x v="4"/>
  </r>
  <r>
    <x v="6"/>
    <n v="1024"/>
    <n v="1024"/>
    <x v="33"/>
    <x v="367"/>
    <n v="5.0414170000000003E-3"/>
    <n v="15"/>
    <s v="missing"/>
    <s v="missing"/>
    <n v="30.249577333000001"/>
    <n v="1.3077625000000001E-2"/>
    <x v="4"/>
  </r>
  <r>
    <x v="6"/>
    <n v="1024"/>
    <n v="1024"/>
    <x v="34"/>
    <x v="367"/>
    <n v="4.7496250000000004E-3"/>
    <n v="15"/>
    <s v="missing"/>
    <s v="missing"/>
    <n v="30.249577333000001"/>
    <n v="1.3077625000000001E-2"/>
    <x v="4"/>
  </r>
  <r>
    <x v="6"/>
    <n v="1024"/>
    <n v="1024"/>
    <x v="35"/>
    <x v="367"/>
    <n v="4.2385419999999997E-3"/>
    <n v="15"/>
    <s v="missing"/>
    <s v="missing"/>
    <n v="30.249577333000001"/>
    <n v="1.3077625000000001E-2"/>
    <x v="4"/>
  </r>
  <r>
    <x v="6"/>
    <n v="1024"/>
    <n v="1024"/>
    <x v="36"/>
    <x v="367"/>
    <n v="5.0976249999999997E-3"/>
    <n v="15"/>
    <s v="missing"/>
    <s v="missing"/>
    <n v="30.249577333000001"/>
    <n v="1.3077625000000001E-2"/>
    <x v="4"/>
  </r>
  <r>
    <x v="6"/>
    <n v="1024"/>
    <n v="1024"/>
    <x v="37"/>
    <x v="367"/>
    <n v="3.9623749999999998E-3"/>
    <n v="15"/>
    <s v="missing"/>
    <s v="missing"/>
    <n v="30.249577333000001"/>
    <n v="1.3077625000000001E-2"/>
    <x v="4"/>
  </r>
  <r>
    <x v="6"/>
    <n v="1024"/>
    <n v="1024"/>
    <x v="38"/>
    <x v="367"/>
    <n v="4.7301670000000004E-3"/>
    <n v="15"/>
    <s v="missing"/>
    <s v="missing"/>
    <n v="30.249577333000001"/>
    <n v="1.3077625000000001E-2"/>
    <x v="4"/>
  </r>
  <r>
    <x v="6"/>
    <n v="1024"/>
    <n v="1024"/>
    <x v="39"/>
    <x v="367"/>
    <n v="3.9864999999999996E-3"/>
    <n v="15"/>
    <s v="missing"/>
    <s v="missing"/>
    <n v="30.249577333000001"/>
    <n v="1.3077625000000001E-2"/>
    <x v="4"/>
  </r>
  <r>
    <x v="6"/>
    <n v="1024"/>
    <n v="1024"/>
    <x v="40"/>
    <x v="367"/>
    <n v="4.452709E-3"/>
    <n v="15"/>
    <s v="missing"/>
    <s v="missing"/>
    <n v="30.249577333000001"/>
    <n v="1.3077625000000001E-2"/>
    <x v="4"/>
  </r>
  <r>
    <x v="6"/>
    <n v="1024"/>
    <n v="1024"/>
    <x v="41"/>
    <x v="367"/>
    <n v="4.3163749999999999E-3"/>
    <n v="15"/>
    <s v="missing"/>
    <s v="missing"/>
    <n v="30.249577333000001"/>
    <n v="1.3077625000000001E-2"/>
    <x v="4"/>
  </r>
  <r>
    <x v="6"/>
    <n v="1024"/>
    <n v="1024"/>
    <x v="42"/>
    <x v="367"/>
    <n v="4.0837499999999997E-3"/>
    <n v="15"/>
    <s v="missing"/>
    <s v="missing"/>
    <n v="30.249577333000001"/>
    <n v="1.3077625000000001E-2"/>
    <x v="4"/>
  </r>
  <r>
    <x v="6"/>
    <n v="1024"/>
    <n v="1024"/>
    <x v="43"/>
    <x v="367"/>
    <n v="4.9641249999999998E-3"/>
    <n v="15"/>
    <s v="missing"/>
    <s v="missing"/>
    <n v="30.249577333000001"/>
    <n v="1.3077625000000001E-2"/>
    <x v="4"/>
  </r>
  <r>
    <x v="6"/>
    <n v="1024"/>
    <n v="1024"/>
    <x v="44"/>
    <x v="367"/>
    <n v="8.4342089999999998E-3"/>
    <n v="15"/>
    <s v="missing"/>
    <s v="missing"/>
    <n v="30.249577333000001"/>
    <n v="1.3077625000000001E-2"/>
    <x v="4"/>
  </r>
  <r>
    <x v="6"/>
    <n v="1024"/>
    <n v="1024"/>
    <x v="45"/>
    <x v="367"/>
    <n v="3.884083E-3"/>
    <n v="14"/>
    <s v="missing"/>
    <s v="missing"/>
    <n v="30.249577333000001"/>
    <n v="1.3077625000000001E-2"/>
    <x v="4"/>
  </r>
  <r>
    <x v="6"/>
    <n v="1024"/>
    <n v="1024"/>
    <x v="46"/>
    <x v="367"/>
    <n v="4.0025E-3"/>
    <n v="14"/>
    <s v="missing"/>
    <s v="missing"/>
    <n v="30.249577333000001"/>
    <n v="1.3077625000000001E-2"/>
    <x v="4"/>
  </r>
  <r>
    <x v="6"/>
    <n v="1024"/>
    <n v="1024"/>
    <x v="47"/>
    <x v="367"/>
    <n v="3.5323339999999998E-3"/>
    <n v="14"/>
    <s v="missing"/>
    <s v="missing"/>
    <n v="30.249577333000001"/>
    <n v="1.3077625000000001E-2"/>
    <x v="4"/>
  </r>
  <r>
    <x v="6"/>
    <n v="1024"/>
    <n v="1024"/>
    <x v="48"/>
    <x v="367"/>
    <n v="3.7352919999999999E-3"/>
    <n v="14"/>
    <s v="missing"/>
    <s v="missing"/>
    <n v="30.249577333000001"/>
    <n v="1.3077625000000001E-2"/>
    <x v="4"/>
  </r>
  <r>
    <x v="6"/>
    <n v="1024"/>
    <n v="1024"/>
    <x v="49"/>
    <x v="367"/>
    <n v="4.106958E-3"/>
    <n v="14"/>
    <s v="missing"/>
    <s v="missing"/>
    <n v="30.249577333000001"/>
    <n v="1.3077625000000001E-2"/>
    <x v="4"/>
  </r>
  <r>
    <x v="6"/>
    <n v="1024"/>
    <n v="1024"/>
    <x v="50"/>
    <x v="367"/>
    <n v="3.5912090000000002E-3"/>
    <n v="14"/>
    <s v="missing"/>
    <s v="missing"/>
    <n v="30.249577333000001"/>
    <n v="1.3077625000000001E-2"/>
    <x v="4"/>
  </r>
  <r>
    <x v="6"/>
    <n v="1024"/>
    <n v="1024"/>
    <x v="51"/>
    <x v="367"/>
    <n v="4.1207919999999999E-3"/>
    <n v="14"/>
    <s v="missing"/>
    <s v="missing"/>
    <n v="30.249577333000001"/>
    <n v="1.3077625000000001E-2"/>
    <x v="4"/>
  </r>
  <r>
    <x v="6"/>
    <n v="1024"/>
    <n v="1024"/>
    <x v="52"/>
    <x v="367"/>
    <n v="3.5344999999999999E-3"/>
    <n v="14"/>
    <s v="missing"/>
    <s v="missing"/>
    <n v="30.249577333000001"/>
    <n v="1.3077625000000001E-2"/>
    <x v="4"/>
  </r>
  <r>
    <x v="6"/>
    <n v="1024"/>
    <n v="1024"/>
    <x v="53"/>
    <x v="367"/>
    <n v="4.2591249999999999E-3"/>
    <n v="14"/>
    <s v="missing"/>
    <s v="missing"/>
    <n v="30.249577333000001"/>
    <n v="1.3077625000000001E-2"/>
    <x v="4"/>
  </r>
  <r>
    <x v="6"/>
    <n v="1024"/>
    <n v="1024"/>
    <x v="54"/>
    <x v="367"/>
    <n v="3.4916669999999999E-3"/>
    <n v="14"/>
    <s v="missing"/>
    <s v="missing"/>
    <n v="30.249577333000001"/>
    <n v="1.3077625000000001E-2"/>
    <x v="4"/>
  </r>
  <r>
    <x v="6"/>
    <n v="1024"/>
    <n v="1024"/>
    <x v="55"/>
    <x v="367"/>
    <n v="4.2103330000000001E-3"/>
    <n v="14"/>
    <s v="missing"/>
    <s v="missing"/>
    <n v="30.249577333000001"/>
    <n v="1.3077625000000001E-2"/>
    <x v="4"/>
  </r>
  <r>
    <x v="6"/>
    <n v="1024"/>
    <n v="1024"/>
    <x v="56"/>
    <x v="367"/>
    <n v="3.5232499999999999E-3"/>
    <n v="14"/>
    <s v="missing"/>
    <s v="missing"/>
    <n v="30.249577333000001"/>
    <n v="1.3077625000000001E-2"/>
    <x v="4"/>
  </r>
  <r>
    <x v="6"/>
    <n v="1024"/>
    <n v="1024"/>
    <x v="57"/>
    <x v="367"/>
    <n v="4.075792E-3"/>
    <n v="14"/>
    <s v="missing"/>
    <s v="missing"/>
    <n v="30.249577333000001"/>
    <n v="1.3077625000000001E-2"/>
    <x v="4"/>
  </r>
  <r>
    <x v="6"/>
    <n v="1024"/>
    <n v="1024"/>
    <x v="58"/>
    <x v="367"/>
    <n v="3.4480420000000001E-3"/>
    <n v="14"/>
    <s v="missing"/>
    <s v="missing"/>
    <n v="30.249577333000001"/>
    <n v="1.3077625000000001E-2"/>
    <x v="4"/>
  </r>
  <r>
    <x v="6"/>
    <n v="1024"/>
    <n v="1024"/>
    <x v="59"/>
    <x v="367"/>
    <n v="4.0402090000000003E-3"/>
    <n v="14"/>
    <s v="missing"/>
    <s v="missing"/>
    <n v="30.249577333000001"/>
    <n v="1.3077625000000001E-2"/>
    <x v="4"/>
  </r>
  <r>
    <x v="6"/>
    <n v="1024"/>
    <n v="1024"/>
    <x v="60"/>
    <x v="367"/>
    <n v="8.0007919999999996E-3"/>
    <n v="14"/>
    <s v="missing"/>
    <s v="missing"/>
    <n v="30.249577333000001"/>
    <n v="1.3077625000000001E-2"/>
    <x v="4"/>
  </r>
  <r>
    <x v="6"/>
    <n v="1024"/>
    <n v="1024"/>
    <x v="61"/>
    <x v="367"/>
    <n v="3.6797499999999999E-3"/>
    <n v="14"/>
    <s v="missing"/>
    <s v="missing"/>
    <n v="30.249577333000001"/>
    <n v="1.3077625000000001E-2"/>
    <x v="4"/>
  </r>
  <r>
    <x v="6"/>
    <n v="1024"/>
    <n v="1024"/>
    <x v="62"/>
    <x v="367"/>
    <n v="3.7325840000000002E-3"/>
    <n v="14"/>
    <s v="missing"/>
    <s v="missing"/>
    <n v="30.249577333000001"/>
    <n v="1.3077625000000001E-2"/>
    <x v="4"/>
  </r>
  <r>
    <x v="6"/>
    <n v="1024"/>
    <n v="1024"/>
    <x v="63"/>
    <x v="367"/>
    <n v="3.7424170000000001E-3"/>
    <n v="14"/>
    <s v="missing"/>
    <s v="missing"/>
    <n v="30.249577333000001"/>
    <n v="1.3077625000000001E-2"/>
    <x v="4"/>
  </r>
  <r>
    <x v="6"/>
    <n v="1024"/>
    <n v="1024"/>
    <x v="64"/>
    <x v="367"/>
    <n v="4.002958E-3"/>
    <n v="14"/>
    <s v="missing"/>
    <s v="missing"/>
    <n v="30.249577333000001"/>
    <n v="1.3077625000000001E-2"/>
    <x v="4"/>
  </r>
  <r>
    <x v="6"/>
    <n v="1024"/>
    <n v="1024"/>
    <x v="65"/>
    <x v="367"/>
    <n v="3.5479999999999999E-3"/>
    <n v="14"/>
    <s v="missing"/>
    <s v="missing"/>
    <n v="30.249577333000001"/>
    <n v="1.3077625000000001E-2"/>
    <x v="4"/>
  </r>
  <r>
    <x v="6"/>
    <n v="1024"/>
    <n v="1024"/>
    <x v="66"/>
    <x v="367"/>
    <n v="3.915333E-3"/>
    <n v="14"/>
    <s v="missing"/>
    <s v="missing"/>
    <n v="30.249577333000001"/>
    <n v="1.3077625000000001E-2"/>
    <x v="4"/>
  </r>
  <r>
    <x v="6"/>
    <n v="1024"/>
    <n v="1024"/>
    <x v="67"/>
    <x v="367"/>
    <n v="4.3883339999999998E-3"/>
    <n v="14"/>
    <s v="missing"/>
    <s v="missing"/>
    <n v="30.249577333000001"/>
    <n v="1.3077625000000001E-2"/>
    <x v="4"/>
  </r>
  <r>
    <x v="6"/>
    <n v="1024"/>
    <n v="1024"/>
    <x v="68"/>
    <x v="367"/>
    <n v="4.044209E-3"/>
    <n v="14"/>
    <s v="missing"/>
    <s v="missing"/>
    <n v="30.249577333000001"/>
    <n v="1.3077625000000001E-2"/>
    <x v="4"/>
  </r>
  <r>
    <x v="6"/>
    <n v="1024"/>
    <n v="1024"/>
    <x v="69"/>
    <x v="367"/>
    <n v="3.0555791999999998E-2"/>
    <n v="14"/>
    <s v="missing"/>
    <s v="missing"/>
    <n v="30.249577333000001"/>
    <n v="1.3077625000000001E-2"/>
    <x v="4"/>
  </r>
  <r>
    <x v="6"/>
    <n v="1024"/>
    <n v="1024"/>
    <x v="70"/>
    <x v="367"/>
    <n v="1.0903166000000001E-2"/>
    <n v="14"/>
    <s v="missing"/>
    <s v="missing"/>
    <n v="30.249577333000001"/>
    <n v="1.3077625000000001E-2"/>
    <x v="4"/>
  </r>
  <r>
    <x v="6"/>
    <n v="1024"/>
    <n v="1024"/>
    <x v="71"/>
    <x v="367"/>
    <n v="3.761917E-3"/>
    <n v="14"/>
    <s v="missing"/>
    <s v="missing"/>
    <n v="30.249577333000001"/>
    <n v="1.3077625000000001E-2"/>
    <x v="4"/>
  </r>
  <r>
    <x v="6"/>
    <n v="1024"/>
    <n v="1024"/>
    <x v="72"/>
    <x v="367"/>
    <n v="4.1517079999999996E-3"/>
    <n v="14"/>
    <s v="missing"/>
    <s v="missing"/>
    <n v="30.249577333000001"/>
    <n v="1.3077625000000001E-2"/>
    <x v="4"/>
  </r>
  <r>
    <x v="6"/>
    <n v="1024"/>
    <n v="1024"/>
    <x v="73"/>
    <x v="367"/>
    <n v="3.7334579999999998E-3"/>
    <n v="14"/>
    <s v="missing"/>
    <s v="missing"/>
    <n v="30.249577333000001"/>
    <n v="1.3077625000000001E-2"/>
    <x v="4"/>
  </r>
  <r>
    <x v="6"/>
    <n v="1024"/>
    <n v="1024"/>
    <x v="74"/>
    <x v="367"/>
    <n v="4.0940830000000001E-3"/>
    <n v="14"/>
    <s v="missing"/>
    <s v="missing"/>
    <n v="30.249577333000001"/>
    <n v="1.3077625000000001E-2"/>
    <x v="4"/>
  </r>
  <r>
    <x v="6"/>
    <n v="1024"/>
    <n v="1024"/>
    <x v="75"/>
    <x v="367"/>
    <n v="7.8802079999999997E-3"/>
    <n v="14"/>
    <s v="missing"/>
    <s v="missing"/>
    <n v="30.249577333000001"/>
    <n v="1.3077625000000001E-2"/>
    <x v="4"/>
  </r>
  <r>
    <x v="6"/>
    <n v="1024"/>
    <n v="1024"/>
    <x v="76"/>
    <x v="367"/>
    <n v="3.8599580000000001E-3"/>
    <n v="14"/>
    <s v="missing"/>
    <s v="missing"/>
    <n v="30.249577333000001"/>
    <n v="1.3077625000000001E-2"/>
    <x v="4"/>
  </r>
  <r>
    <x v="6"/>
    <n v="1024"/>
    <n v="1024"/>
    <x v="77"/>
    <x v="367"/>
    <n v="4.3414589999999998E-3"/>
    <n v="14"/>
    <s v="missing"/>
    <s v="missing"/>
    <n v="30.249577333000001"/>
    <n v="1.3077625000000001E-2"/>
    <x v="4"/>
  </r>
  <r>
    <x v="6"/>
    <n v="1024"/>
    <n v="1024"/>
    <x v="78"/>
    <x v="367"/>
    <n v="3.7278749999999999E-3"/>
    <n v="14"/>
    <s v="missing"/>
    <s v="missing"/>
    <n v="30.249577333000001"/>
    <n v="1.3077625000000001E-2"/>
    <x v="4"/>
  </r>
  <r>
    <x v="6"/>
    <n v="1024"/>
    <n v="1024"/>
    <x v="79"/>
    <x v="367"/>
    <n v="3.9544159999999997E-3"/>
    <n v="14"/>
    <s v="missing"/>
    <s v="missing"/>
    <n v="30.249577333000001"/>
    <n v="1.3077625000000001E-2"/>
    <x v="4"/>
  </r>
  <r>
    <x v="6"/>
    <n v="1024"/>
    <n v="1024"/>
    <x v="80"/>
    <x v="367"/>
    <n v="3.5943749999999999E-3"/>
    <n v="14"/>
    <s v="missing"/>
    <s v="missing"/>
    <n v="30.249577333000001"/>
    <n v="1.3077625000000001E-2"/>
    <x v="4"/>
  </r>
  <r>
    <x v="6"/>
    <n v="1024"/>
    <n v="1024"/>
    <x v="81"/>
    <x v="367"/>
    <n v="3.821708E-3"/>
    <n v="14"/>
    <s v="missing"/>
    <s v="missing"/>
    <n v="30.249577333000001"/>
    <n v="1.3077625000000001E-2"/>
    <x v="4"/>
  </r>
  <r>
    <x v="6"/>
    <n v="1024"/>
    <n v="1024"/>
    <x v="82"/>
    <x v="367"/>
    <n v="3.870708E-3"/>
    <n v="14"/>
    <s v="missing"/>
    <s v="missing"/>
    <n v="30.249577333000001"/>
    <n v="1.3077625000000001E-2"/>
    <x v="4"/>
  </r>
  <r>
    <x v="6"/>
    <n v="1024"/>
    <n v="1024"/>
    <x v="83"/>
    <x v="367"/>
    <n v="3.8438330000000001E-3"/>
    <n v="14"/>
    <s v="missing"/>
    <s v="missing"/>
    <n v="30.249577333000001"/>
    <n v="1.3077625000000001E-2"/>
    <x v="4"/>
  </r>
  <r>
    <x v="6"/>
    <n v="1024"/>
    <n v="1024"/>
    <x v="84"/>
    <x v="367"/>
    <n v="3.9484580000000002E-3"/>
    <n v="14"/>
    <s v="missing"/>
    <s v="missing"/>
    <n v="30.249577333000001"/>
    <n v="1.3077625000000001E-2"/>
    <x v="4"/>
  </r>
  <r>
    <x v="6"/>
    <n v="1024"/>
    <n v="1024"/>
    <x v="85"/>
    <x v="367"/>
    <n v="3.4413339999999999E-3"/>
    <n v="14"/>
    <s v="missing"/>
    <s v="missing"/>
    <n v="30.249577333000001"/>
    <n v="1.3077625000000001E-2"/>
    <x v="4"/>
  </r>
  <r>
    <x v="6"/>
    <n v="1024"/>
    <n v="1024"/>
    <x v="86"/>
    <x v="367"/>
    <n v="3.6632499999999998E-3"/>
    <n v="14"/>
    <s v="missing"/>
    <s v="missing"/>
    <n v="30.249577333000001"/>
    <n v="1.3077625000000001E-2"/>
    <x v="4"/>
  </r>
  <r>
    <x v="6"/>
    <n v="1024"/>
    <n v="1024"/>
    <x v="87"/>
    <x v="367"/>
    <n v="3.933125E-3"/>
    <n v="14"/>
    <s v="missing"/>
    <s v="missing"/>
    <n v="30.249577333000001"/>
    <n v="1.3077625000000001E-2"/>
    <x v="4"/>
  </r>
  <r>
    <x v="6"/>
    <n v="1024"/>
    <n v="1024"/>
    <x v="88"/>
    <x v="367"/>
    <n v="3.66775E-3"/>
    <n v="14"/>
    <s v="missing"/>
    <s v="missing"/>
    <n v="30.249577333000001"/>
    <n v="1.3077625000000001E-2"/>
    <x v="4"/>
  </r>
  <r>
    <x v="6"/>
    <n v="1024"/>
    <n v="1024"/>
    <x v="89"/>
    <x v="367"/>
    <n v="3.8529160000000001E-3"/>
    <n v="14"/>
    <s v="missing"/>
    <s v="missing"/>
    <n v="30.249577333000001"/>
    <n v="1.3077625000000001E-2"/>
    <x v="4"/>
  </r>
  <r>
    <x v="6"/>
    <n v="1024"/>
    <n v="1024"/>
    <x v="90"/>
    <x v="367"/>
    <n v="3.7544169999999999E-3"/>
    <n v="14"/>
    <s v="missing"/>
    <s v="missing"/>
    <n v="30.249577333000001"/>
    <n v="1.3077625000000001E-2"/>
    <x v="4"/>
  </r>
  <r>
    <x v="6"/>
    <n v="1024"/>
    <n v="1024"/>
    <x v="91"/>
    <x v="367"/>
    <n v="8.0439169999999994E-3"/>
    <n v="14"/>
    <s v="missing"/>
    <s v="missing"/>
    <n v="30.249577333000001"/>
    <n v="1.3077625000000001E-2"/>
    <x v="4"/>
  </r>
  <r>
    <x v="6"/>
    <n v="1024"/>
    <n v="1024"/>
    <x v="92"/>
    <x v="367"/>
    <n v="3.7864579999999999E-3"/>
    <n v="14"/>
    <s v="missing"/>
    <s v="missing"/>
    <n v="30.249577333000001"/>
    <n v="1.3077625000000001E-2"/>
    <x v="4"/>
  </r>
  <r>
    <x v="6"/>
    <n v="1024"/>
    <n v="1024"/>
    <x v="93"/>
    <x v="367"/>
    <n v="3.946125E-3"/>
    <n v="14"/>
    <s v="missing"/>
    <s v="missing"/>
    <n v="30.249577333000001"/>
    <n v="1.3077625000000001E-2"/>
    <x v="4"/>
  </r>
  <r>
    <x v="6"/>
    <n v="1024"/>
    <n v="1024"/>
    <x v="94"/>
    <x v="367"/>
    <n v="3.7842499999999999E-3"/>
    <n v="14"/>
    <s v="missing"/>
    <s v="missing"/>
    <n v="30.249577333000001"/>
    <n v="1.3077625000000001E-2"/>
    <x v="4"/>
  </r>
  <r>
    <x v="6"/>
    <n v="1024"/>
    <n v="1024"/>
    <x v="95"/>
    <x v="367"/>
    <n v="3.8072919999999999E-3"/>
    <n v="14"/>
    <s v="missing"/>
    <s v="missing"/>
    <n v="30.249577333000001"/>
    <n v="1.3077625000000001E-2"/>
    <x v="4"/>
  </r>
  <r>
    <x v="6"/>
    <n v="1024"/>
    <n v="1024"/>
    <x v="96"/>
    <x v="367"/>
    <n v="3.7217079999999998E-3"/>
    <n v="14"/>
    <s v="missing"/>
    <s v="missing"/>
    <n v="30.249577333000001"/>
    <n v="1.3077625000000001E-2"/>
    <x v="4"/>
  </r>
  <r>
    <x v="6"/>
    <n v="1024"/>
    <n v="1024"/>
    <x v="97"/>
    <x v="367"/>
    <n v="4.6870000000000002E-3"/>
    <n v="14"/>
    <s v="missing"/>
    <s v="missing"/>
    <n v="30.249577333000001"/>
    <n v="1.3077625000000001E-2"/>
    <x v="4"/>
  </r>
  <r>
    <x v="6"/>
    <n v="1024"/>
    <n v="1024"/>
    <x v="98"/>
    <x v="367"/>
    <n v="3.4636670000000001E-3"/>
    <n v="14"/>
    <s v="missing"/>
    <s v="missing"/>
    <n v="30.249577333000001"/>
    <n v="1.3077625000000001E-2"/>
    <x v="4"/>
  </r>
  <r>
    <x v="6"/>
    <n v="1024"/>
    <n v="1024"/>
    <x v="99"/>
    <x v="367"/>
    <n v="3.7824170000000002E-3"/>
    <n v="14"/>
    <s v="missing"/>
    <s v="missing"/>
    <n v="30.249577333000001"/>
    <n v="1.3077625000000001E-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A6A13-49B7-B543-8291-7958D5887C08}" name="PivotTable4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E1:F8" firstHeaderRow="1" firstDataRow="1" firstDataCol="1"/>
  <pivotFields count="12">
    <pivotField axis="axisRow"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" showAll="0"/>
    <pivotField numFmtId="1" showAll="0"/>
    <pivotField numFmtId="1" showAll="0"/>
    <pivotField showAll="0"/>
    <pivotField dataField="1" numFmtId="168" showAll="0"/>
    <pivotField numFmtId="1" showAll="0"/>
    <pivotField showAll="0"/>
    <pivotField showAll="0"/>
    <pivotField numFmtId="166" showAll="0"/>
    <pivotField numFmtId="166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of tn_time" fld="5" subtotal="average" baseField="0" baseItem="0" numFmtId="16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692F1-FE68-024B-BFC7-0974F730AEAE}" name="PivotTable3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 rowHeaderCaption="n">
  <location ref="A1:C5" firstHeaderRow="0" firstDataRow="1" firstDataCol="1"/>
  <pivotFields count="12">
    <pivotField axis="axisRow" numFmtId="1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numFmtId="1" showAll="0"/>
    <pivotField numFmtId="1" showAll="0"/>
    <pivotField numFmtI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showAll="0">
      <items count="369">
        <item x="8"/>
        <item x="47"/>
        <item x="53"/>
        <item x="11"/>
        <item x="59"/>
        <item x="49"/>
        <item x="29"/>
        <item x="20"/>
        <item x="22"/>
        <item x="26"/>
        <item x="43"/>
        <item x="25"/>
        <item x="30"/>
        <item x="16"/>
        <item x="38"/>
        <item x="5"/>
        <item x="32"/>
        <item x="13"/>
        <item x="61"/>
        <item x="9"/>
        <item x="42"/>
        <item x="45"/>
        <item x="15"/>
        <item x="4"/>
        <item x="2"/>
        <item x="65"/>
        <item x="3"/>
        <item x="7"/>
        <item x="50"/>
        <item x="56"/>
        <item x="21"/>
        <item x="24"/>
        <item x="48"/>
        <item x="6"/>
        <item x="17"/>
        <item x="62"/>
        <item x="12"/>
        <item x="46"/>
        <item x="27"/>
        <item x="57"/>
        <item x="35"/>
        <item x="40"/>
        <item x="19"/>
        <item x="18"/>
        <item x="55"/>
        <item x="10"/>
        <item x="63"/>
        <item x="34"/>
        <item x="44"/>
        <item x="37"/>
        <item x="14"/>
        <item x="54"/>
        <item x="66"/>
        <item x="31"/>
        <item x="60"/>
        <item x="36"/>
        <item x="52"/>
        <item x="23"/>
        <item x="1"/>
        <item x="28"/>
        <item x="58"/>
        <item x="51"/>
        <item x="39"/>
        <item x="0"/>
        <item x="33"/>
        <item x="64"/>
        <item x="41"/>
        <item x="67"/>
        <item x="125"/>
        <item x="88"/>
        <item x="133"/>
        <item x="94"/>
        <item x="87"/>
        <item x="83"/>
        <item x="117"/>
        <item x="73"/>
        <item x="129"/>
        <item x="128"/>
        <item x="112"/>
        <item x="100"/>
        <item x="96"/>
        <item x="113"/>
        <item x="114"/>
        <item x="93"/>
        <item x="69"/>
        <item x="82"/>
        <item x="77"/>
        <item x="139"/>
        <item x="103"/>
        <item x="155"/>
        <item x="132"/>
        <item x="126"/>
        <item x="111"/>
        <item x="89"/>
        <item x="150"/>
        <item x="84"/>
        <item x="144"/>
        <item x="107"/>
        <item x="110"/>
        <item x="72"/>
        <item x="131"/>
        <item x="138"/>
        <item x="90"/>
        <item x="164"/>
        <item x="80"/>
        <item x="163"/>
        <item x="143"/>
        <item x="116"/>
        <item x="86"/>
        <item x="124"/>
        <item x="159"/>
        <item x="149"/>
        <item x="120"/>
        <item x="127"/>
        <item x="97"/>
        <item x="78"/>
        <item x="98"/>
        <item x="118"/>
        <item x="154"/>
        <item x="99"/>
        <item x="165"/>
        <item x="152"/>
        <item x="79"/>
        <item x="140"/>
        <item x="115"/>
        <item x="162"/>
        <item x="123"/>
        <item x="136"/>
        <item x="161"/>
        <item x="157"/>
        <item x="130"/>
        <item x="151"/>
        <item x="119"/>
        <item x="121"/>
        <item x="74"/>
        <item x="95"/>
        <item x="92"/>
        <item x="141"/>
        <item x="145"/>
        <item x="102"/>
        <item x="81"/>
        <item x="134"/>
        <item x="105"/>
        <item x="85"/>
        <item x="75"/>
        <item x="106"/>
        <item x="156"/>
        <item x="109"/>
        <item x="76"/>
        <item x="147"/>
        <item x="153"/>
        <item x="104"/>
        <item x="137"/>
        <item x="148"/>
        <item x="91"/>
        <item x="70"/>
        <item x="146"/>
        <item x="166"/>
        <item x="122"/>
        <item x="135"/>
        <item x="160"/>
        <item x="158"/>
        <item x="101"/>
        <item x="68"/>
        <item x="108"/>
        <item x="142"/>
        <item x="71"/>
        <item x="257"/>
        <item x="243"/>
        <item x="192"/>
        <item x="232"/>
        <item x="216"/>
        <item x="211"/>
        <item x="167"/>
        <item x="173"/>
        <item x="212"/>
        <item x="202"/>
        <item x="241"/>
        <item x="190"/>
        <item x="203"/>
        <item x="252"/>
        <item x="250"/>
        <item x="244"/>
        <item x="187"/>
        <item x="204"/>
        <item x="213"/>
        <item x="195"/>
        <item x="178"/>
        <item x="196"/>
        <item x="182"/>
        <item x="214"/>
        <item x="256"/>
        <item x="247"/>
        <item x="265"/>
        <item x="230"/>
        <item x="194"/>
        <item x="266"/>
        <item x="209"/>
        <item x="258"/>
        <item x="245"/>
        <item x="179"/>
        <item x="235"/>
        <item x="228"/>
        <item x="240"/>
        <item x="184"/>
        <item x="181"/>
        <item x="206"/>
        <item x="223"/>
        <item x="251"/>
        <item x="210"/>
        <item x="189"/>
        <item x="200"/>
        <item x="224"/>
        <item x="239"/>
        <item x="242"/>
        <item x="205"/>
        <item x="254"/>
        <item x="238"/>
        <item x="221"/>
        <item x="259"/>
        <item x="207"/>
        <item x="186"/>
        <item x="260"/>
        <item x="248"/>
        <item x="227"/>
        <item x="263"/>
        <item x="176"/>
        <item x="198"/>
        <item x="170"/>
        <item x="172"/>
        <item x="188"/>
        <item x="226"/>
        <item x="253"/>
        <item x="246"/>
        <item x="222"/>
        <item x="220"/>
        <item x="237"/>
        <item x="219"/>
        <item x="262"/>
        <item x="177"/>
        <item x="236"/>
        <item x="174"/>
        <item x="264"/>
        <item x="233"/>
        <item x="193"/>
        <item x="201"/>
        <item x="185"/>
        <item x="197"/>
        <item x="171"/>
        <item x="180"/>
        <item x="261"/>
        <item x="225"/>
        <item x="169"/>
        <item x="183"/>
        <item x="234"/>
        <item x="231"/>
        <item x="208"/>
        <item x="215"/>
        <item x="218"/>
        <item x="255"/>
        <item x="191"/>
        <item x="249"/>
        <item x="175"/>
        <item x="168"/>
        <item x="217"/>
        <item x="199"/>
        <item x="229"/>
        <item x="287"/>
        <item x="356"/>
        <item x="285"/>
        <item x="306"/>
        <item x="292"/>
        <item x="320"/>
        <item x="325"/>
        <item x="296"/>
        <item x="316"/>
        <item x="352"/>
        <item x="366"/>
        <item x="354"/>
        <item x="314"/>
        <item x="289"/>
        <item x="364"/>
        <item x="347"/>
        <item x="362"/>
        <item x="360"/>
        <item x="279"/>
        <item x="343"/>
        <item x="345"/>
        <item x="298"/>
        <item x="277"/>
        <item x="341"/>
        <item x="294"/>
        <item x="329"/>
        <item x="335"/>
        <item x="283"/>
        <item x="304"/>
        <item x="318"/>
        <item x="339"/>
        <item x="331"/>
        <item x="351"/>
        <item x="302"/>
        <item x="358"/>
        <item x="350"/>
        <item x="337"/>
        <item x="273"/>
        <item x="291"/>
        <item x="290"/>
        <item x="323"/>
        <item x="308"/>
        <item x="293"/>
        <item x="300"/>
        <item x="281"/>
        <item x="349"/>
        <item x="286"/>
        <item x="310"/>
        <item x="363"/>
        <item x="327"/>
        <item x="361"/>
        <item x="340"/>
        <item x="301"/>
        <item x="342"/>
        <item x="295"/>
        <item x="353"/>
        <item x="312"/>
        <item x="357"/>
        <item x="332"/>
        <item x="338"/>
        <item x="305"/>
        <item x="284"/>
        <item x="271"/>
        <item x="299"/>
        <item x="328"/>
        <item x="280"/>
        <item x="317"/>
        <item x="303"/>
        <item x="278"/>
        <item x="315"/>
        <item x="297"/>
        <item x="346"/>
        <item x="324"/>
        <item x="333"/>
        <item x="359"/>
        <item x="319"/>
        <item x="307"/>
        <item x="336"/>
        <item x="267"/>
        <item x="334"/>
        <item x="365"/>
        <item x="330"/>
        <item x="321"/>
        <item x="348"/>
        <item x="282"/>
        <item x="309"/>
        <item x="344"/>
        <item x="322"/>
        <item x="326"/>
        <item x="311"/>
        <item x="313"/>
        <item x="355"/>
        <item x="288"/>
        <item x="270"/>
        <item x="274"/>
        <item x="272"/>
        <item x="269"/>
        <item x="276"/>
        <item x="275"/>
        <item x="268"/>
        <item x="367"/>
        <item t="default"/>
      </items>
    </pivotField>
    <pivotField dataField="1" numFmtId="168" showAll="0"/>
    <pivotField numFmtId="1" showAll="0"/>
    <pivotField showAll="0"/>
    <pivotField showAll="0"/>
    <pivotField numFmtId="166" showAll="0"/>
    <pivotField numFmtId="166" showAll="0"/>
    <pivotField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g TN Timestep / s" fld="5" subtotal="average" baseField="0" baseItem="0" numFmtId="168"/>
    <dataField name="Avg Dense Timestep / s" fld="4" subtotal="average" baseField="0" baseItem="0"/>
  </dataFields>
  <formats count="2">
    <format dxfId="88">
      <pivotArea outline="0" collapsedLevelsAreSubtotals="1" fieldPosition="0"/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16FE9-815B-6F4F-A4F7-911E4EC15D8C}" name="PivotTable6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n">
  <location ref="A1:E5" firstHeaderRow="0" firstDataRow="1" firstDataCol="1"/>
  <pivotFields count="12">
    <pivotField axis="axisRow" numFmtId="1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dataField="1" numFmtId="1" showAll="0"/>
    <pivotField numFmtId="1" showAll="0"/>
    <pivotField numFmtId="1" showAll="0"/>
    <pivotField showAll="0">
      <items count="369">
        <item x="8"/>
        <item x="47"/>
        <item x="53"/>
        <item x="11"/>
        <item x="59"/>
        <item x="49"/>
        <item x="29"/>
        <item x="20"/>
        <item x="22"/>
        <item x="26"/>
        <item x="43"/>
        <item x="25"/>
        <item x="30"/>
        <item x="16"/>
        <item x="38"/>
        <item x="5"/>
        <item x="32"/>
        <item x="13"/>
        <item x="61"/>
        <item x="9"/>
        <item x="42"/>
        <item x="45"/>
        <item x="15"/>
        <item x="4"/>
        <item x="2"/>
        <item x="65"/>
        <item x="3"/>
        <item x="7"/>
        <item x="50"/>
        <item x="56"/>
        <item x="21"/>
        <item x="24"/>
        <item x="48"/>
        <item x="6"/>
        <item x="17"/>
        <item x="62"/>
        <item x="12"/>
        <item x="46"/>
        <item x="27"/>
        <item x="57"/>
        <item x="35"/>
        <item x="40"/>
        <item x="19"/>
        <item x="18"/>
        <item x="55"/>
        <item x="10"/>
        <item x="63"/>
        <item x="34"/>
        <item x="44"/>
        <item x="37"/>
        <item x="14"/>
        <item x="54"/>
        <item x="66"/>
        <item x="31"/>
        <item x="60"/>
        <item x="36"/>
        <item x="52"/>
        <item x="23"/>
        <item x="1"/>
        <item x="28"/>
        <item x="58"/>
        <item x="51"/>
        <item x="39"/>
        <item x="0"/>
        <item x="33"/>
        <item x="64"/>
        <item x="41"/>
        <item x="67"/>
        <item x="125"/>
        <item x="88"/>
        <item x="133"/>
        <item x="94"/>
        <item x="87"/>
        <item x="83"/>
        <item x="117"/>
        <item x="73"/>
        <item x="129"/>
        <item x="128"/>
        <item x="112"/>
        <item x="100"/>
        <item x="96"/>
        <item x="113"/>
        <item x="114"/>
        <item x="93"/>
        <item x="69"/>
        <item x="82"/>
        <item x="77"/>
        <item x="139"/>
        <item x="103"/>
        <item x="155"/>
        <item x="132"/>
        <item x="126"/>
        <item x="111"/>
        <item x="89"/>
        <item x="150"/>
        <item x="84"/>
        <item x="144"/>
        <item x="107"/>
        <item x="110"/>
        <item x="72"/>
        <item x="131"/>
        <item x="138"/>
        <item x="90"/>
        <item x="164"/>
        <item x="80"/>
        <item x="163"/>
        <item x="143"/>
        <item x="116"/>
        <item x="86"/>
        <item x="124"/>
        <item x="159"/>
        <item x="149"/>
        <item x="120"/>
        <item x="127"/>
        <item x="97"/>
        <item x="78"/>
        <item x="98"/>
        <item x="118"/>
        <item x="154"/>
        <item x="99"/>
        <item x="165"/>
        <item x="152"/>
        <item x="79"/>
        <item x="140"/>
        <item x="115"/>
        <item x="162"/>
        <item x="123"/>
        <item x="136"/>
        <item x="161"/>
        <item x="157"/>
        <item x="130"/>
        <item x="151"/>
        <item x="119"/>
        <item x="121"/>
        <item x="74"/>
        <item x="95"/>
        <item x="92"/>
        <item x="141"/>
        <item x="145"/>
        <item x="102"/>
        <item x="81"/>
        <item x="134"/>
        <item x="105"/>
        <item x="85"/>
        <item x="75"/>
        <item x="106"/>
        <item x="156"/>
        <item x="109"/>
        <item x="76"/>
        <item x="147"/>
        <item x="153"/>
        <item x="104"/>
        <item x="137"/>
        <item x="148"/>
        <item x="91"/>
        <item x="70"/>
        <item x="146"/>
        <item x="166"/>
        <item x="122"/>
        <item x="135"/>
        <item x="160"/>
        <item x="158"/>
        <item x="101"/>
        <item x="68"/>
        <item x="108"/>
        <item x="142"/>
        <item x="71"/>
        <item x="257"/>
        <item x="243"/>
        <item x="192"/>
        <item x="232"/>
        <item x="216"/>
        <item x="211"/>
        <item x="167"/>
        <item x="173"/>
        <item x="212"/>
        <item x="202"/>
        <item x="241"/>
        <item x="190"/>
        <item x="203"/>
        <item x="252"/>
        <item x="250"/>
        <item x="244"/>
        <item x="187"/>
        <item x="204"/>
        <item x="213"/>
        <item x="195"/>
        <item x="178"/>
        <item x="196"/>
        <item x="182"/>
        <item x="214"/>
        <item x="256"/>
        <item x="247"/>
        <item x="265"/>
        <item x="230"/>
        <item x="194"/>
        <item x="266"/>
        <item x="209"/>
        <item x="258"/>
        <item x="245"/>
        <item x="179"/>
        <item x="235"/>
        <item x="228"/>
        <item x="240"/>
        <item x="184"/>
        <item x="181"/>
        <item x="206"/>
        <item x="223"/>
        <item x="251"/>
        <item x="210"/>
        <item x="189"/>
        <item x="200"/>
        <item x="224"/>
        <item x="239"/>
        <item x="242"/>
        <item x="205"/>
        <item x="254"/>
        <item x="238"/>
        <item x="221"/>
        <item x="259"/>
        <item x="207"/>
        <item x="186"/>
        <item x="260"/>
        <item x="248"/>
        <item x="227"/>
        <item x="263"/>
        <item x="176"/>
        <item x="198"/>
        <item x="170"/>
        <item x="172"/>
        <item x="188"/>
        <item x="226"/>
        <item x="253"/>
        <item x="246"/>
        <item x="222"/>
        <item x="220"/>
        <item x="237"/>
        <item x="219"/>
        <item x="262"/>
        <item x="177"/>
        <item x="236"/>
        <item x="174"/>
        <item x="264"/>
        <item x="233"/>
        <item x="193"/>
        <item x="201"/>
        <item x="185"/>
        <item x="197"/>
        <item x="171"/>
        <item x="180"/>
        <item x="261"/>
        <item x="225"/>
        <item x="169"/>
        <item x="183"/>
        <item x="234"/>
        <item x="231"/>
        <item x="208"/>
        <item x="215"/>
        <item x="218"/>
        <item x="255"/>
        <item x="191"/>
        <item x="249"/>
        <item x="175"/>
        <item x="168"/>
        <item x="217"/>
        <item x="199"/>
        <item x="229"/>
        <item x="287"/>
        <item x="356"/>
        <item x="285"/>
        <item x="306"/>
        <item x="292"/>
        <item x="320"/>
        <item x="325"/>
        <item x="296"/>
        <item x="316"/>
        <item x="352"/>
        <item x="366"/>
        <item x="354"/>
        <item x="314"/>
        <item x="289"/>
        <item x="364"/>
        <item x="347"/>
        <item x="362"/>
        <item x="360"/>
        <item x="279"/>
        <item x="343"/>
        <item x="345"/>
        <item x="298"/>
        <item x="277"/>
        <item x="341"/>
        <item x="294"/>
        <item x="329"/>
        <item x="335"/>
        <item x="283"/>
        <item x="304"/>
        <item x="318"/>
        <item x="339"/>
        <item x="331"/>
        <item x="351"/>
        <item x="302"/>
        <item x="358"/>
        <item x="350"/>
        <item x="337"/>
        <item x="273"/>
        <item x="291"/>
        <item x="290"/>
        <item x="323"/>
        <item x="308"/>
        <item x="293"/>
        <item x="300"/>
        <item x="281"/>
        <item x="349"/>
        <item x="286"/>
        <item x="310"/>
        <item x="363"/>
        <item x="327"/>
        <item x="361"/>
        <item x="340"/>
        <item x="301"/>
        <item x="342"/>
        <item x="295"/>
        <item x="353"/>
        <item x="312"/>
        <item x="357"/>
        <item x="332"/>
        <item x="338"/>
        <item x="305"/>
        <item x="284"/>
        <item x="271"/>
        <item x="299"/>
        <item x="328"/>
        <item x="280"/>
        <item x="317"/>
        <item x="303"/>
        <item x="278"/>
        <item x="315"/>
        <item x="297"/>
        <item x="346"/>
        <item x="324"/>
        <item x="333"/>
        <item x="359"/>
        <item x="319"/>
        <item x="307"/>
        <item x="336"/>
        <item x="267"/>
        <item x="334"/>
        <item x="365"/>
        <item x="330"/>
        <item x="321"/>
        <item x="348"/>
        <item x="282"/>
        <item x="309"/>
        <item x="344"/>
        <item x="322"/>
        <item x="326"/>
        <item x="311"/>
        <item x="313"/>
        <item x="355"/>
        <item x="288"/>
        <item x="270"/>
        <item x="274"/>
        <item x="272"/>
        <item x="269"/>
        <item x="276"/>
        <item x="275"/>
        <item x="268"/>
        <item x="367"/>
        <item t="default"/>
      </items>
    </pivotField>
    <pivotField numFmtId="168" showAll="0"/>
    <pivotField numFmtId="1" showAll="0"/>
    <pivotField showAll="0"/>
    <pivotField showAll="0"/>
    <pivotField dataField="1" numFmtId="166" showAll="0"/>
    <pivotField dataField="1" numFmtId="166" showAll="0"/>
    <pivotField dataField="1" showAll="0">
      <items count="6">
        <item x="1"/>
        <item x="0"/>
        <item x="2"/>
        <item x="3"/>
        <item x="4"/>
        <item t="default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=2^n" fld="1" subtotal="min" baseField="0" baseItem="0" numFmtId="1"/>
    <dataField name="Time to build MPS / s" fld="9" subtotal="min" baseField="0" baseItem="0" numFmtId="166"/>
    <dataField name="Time to build MPO / s" fld="10" subtotal="min" baseField="0" baseItem="0" numFmtId="166"/>
    <dataField name="Time build dense / s" fld="11" subtotal="min" baseField="0" baseItem="0" numFmtId="166"/>
  </dataFields>
  <formats count="9">
    <format dxfId="87">
      <pivotArea type="all" dataOnly="0" outline="0" fieldPosition="0"/>
    </format>
    <format dxfId="86">
      <pivotArea outline="0" collapsedLevelsAreSubtotals="1" fieldPosition="0"/>
    </format>
    <format dxfId="8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6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0"/>
        </references>
      </pivotArea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22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114854-6C1A-1448-AB15-79FBFDE16565}" name="Table1" displayName="Table1" ref="A1:L701" totalsRowShown="0" headerRowDxfId="102">
  <autoFilter ref="A1:L701" xr:uid="{12114854-6C1A-1448-AB15-79FBFDE16565}"/>
  <tableColumns count="12">
    <tableColumn id="1" xr3:uid="{4F050C14-6129-B04B-BFE8-0A99D7A5D6DC}" name="n" dataDxfId="101"/>
    <tableColumn id="2" xr3:uid="{B6E406BC-00C0-2E4E-974E-0E57951BB444}" name="Nx" dataDxfId="100"/>
    <tableColumn id="3" xr3:uid="{466659A5-6086-A747-862F-88F3AA99B007}" name="Ny" dataDxfId="99"/>
    <tableColumn id="4" xr3:uid="{2ABF38A6-2CBA-6842-BAF1-C736E963254E}" name="step" dataDxfId="98"/>
    <tableColumn id="5" xr3:uid="{ECE0AF88-7A2F-F44D-B22A-9F21F76FBE92}" name="dense_time" dataDxfId="97"/>
    <tableColumn id="6" xr3:uid="{78F79A38-AC6E-FB42-9592-620A9511F23F}" name="tn_time" dataDxfId="96"/>
    <tableColumn id="7" xr3:uid="{ED6732F6-8196-7C43-8863-1CF8C5425B04}" name="bond_dim" dataDxfId="95"/>
    <tableColumn id="8" xr3:uid="{B9130FEA-32D7-F743-8CA2-3511A262868F}" name="abs_err" dataDxfId="94"/>
    <tableColumn id="9" xr3:uid="{1B60A0E9-E20F-604F-BF3B-915101413868}" name="rel_err" dataDxfId="93"/>
    <tableColumn id="10" xr3:uid="{EAB7C9C4-1AC1-2240-8A04-2740D3FCD4FA}" name="mps_build" dataDxfId="92"/>
    <tableColumn id="11" xr3:uid="{B9C691DC-8086-6848-8124-B7F7B62520CB}" name="mpo_build" dataDxfId="91"/>
    <tableColumn id="12" xr3:uid="{1E16DB25-C1FB-C243-8DAD-8B9D53DE47E8}" name="dense_build" dataDxfId="9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3AA48C-4BE4-C14E-ABFE-E66F37F72DA3}" name="Table2" displayName="Table2" ref="B7:D11" totalsRowShown="0">
  <autoFilter ref="B7:D11" xr:uid="{E13AA48C-4BE4-C14E-ABFE-E66F37F72DA3}"/>
  <tableColumns count="3">
    <tableColumn id="1" xr3:uid="{3903461F-FEA7-0E44-A7B8-3309E27DBF06}" name="n" dataDxfId="0"/>
    <tableColumn id="2" xr3:uid="{98465E88-4616-2142-9404-8C123B3992C4}" name="TN setup time / s" dataDxfId="1"/>
    <tableColumn id="3" xr3:uid="{1743D756-A9F5-2B45-AD18-B2336D40845E}" name="dense setup time / 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A295-57EE-284F-86D6-3AED3B8158DE}">
  <dimension ref="A1:L701"/>
  <sheetViews>
    <sheetView tabSelected="1" topLeftCell="A475" workbookViewId="0">
      <selection activeCell="N485" sqref="N485"/>
    </sheetView>
  </sheetViews>
  <sheetFormatPr baseColWidth="10" defaultRowHeight="16" x14ac:dyDescent="0.2"/>
  <cols>
    <col min="1" max="4" width="10.83203125" style="2"/>
    <col min="5" max="5" width="12.83203125" style="4" customWidth="1"/>
    <col min="6" max="6" width="10.83203125" style="4"/>
    <col min="7" max="7" width="11.33203125" style="2" customWidth="1"/>
    <col min="8" max="9" width="11.6640625" style="1" bestFit="1" customWidth="1"/>
    <col min="10" max="10" width="11.6640625" style="3" customWidth="1"/>
    <col min="11" max="11" width="11.83203125" style="3" customWidth="1"/>
    <col min="12" max="12" width="13.1640625" style="3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</row>
    <row r="2" spans="1:12" x14ac:dyDescent="0.2">
      <c r="A2" s="2">
        <v>4</v>
      </c>
      <c r="B2" s="2">
        <v>16</v>
      </c>
      <c r="C2" s="2">
        <v>16</v>
      </c>
      <c r="D2" s="2">
        <v>1</v>
      </c>
      <c r="E2" s="4">
        <v>2.1208000000000001E-5</v>
      </c>
      <c r="F2" s="4">
        <v>1.029416E-3</v>
      </c>
      <c r="G2" s="2">
        <v>4</v>
      </c>
      <c r="H2" s="1">
        <v>4.0840671989499802E-15</v>
      </c>
      <c r="I2" s="1">
        <v>1.9345371029461902E-15</v>
      </c>
      <c r="J2" s="3">
        <v>2.4502920000000002E-3</v>
      </c>
      <c r="K2" s="3">
        <v>5.8124580000000004E-3</v>
      </c>
      <c r="L2" s="3">
        <v>10.869475917000001</v>
      </c>
    </row>
    <row r="3" spans="1:12" x14ac:dyDescent="0.2">
      <c r="A3" s="2">
        <v>4</v>
      </c>
      <c r="B3" s="2">
        <v>16</v>
      </c>
      <c r="C3" s="2">
        <v>16</v>
      </c>
      <c r="D3" s="2">
        <v>2</v>
      </c>
      <c r="E3" s="4">
        <v>1.7791E-5</v>
      </c>
      <c r="F3" s="4">
        <v>1.2297499999999999E-3</v>
      </c>
      <c r="G3" s="2">
        <v>6</v>
      </c>
      <c r="H3" s="1">
        <v>2.4600142513776599E-15</v>
      </c>
      <c r="I3" s="1">
        <v>3.16271605225543E-15</v>
      </c>
      <c r="J3" s="3">
        <v>2.4502920000000002E-3</v>
      </c>
      <c r="K3" s="3">
        <v>5.8124580000000004E-3</v>
      </c>
      <c r="L3" s="3">
        <v>10.869475917000001</v>
      </c>
    </row>
    <row r="4" spans="1:12" x14ac:dyDescent="0.2">
      <c r="A4" s="2">
        <v>4</v>
      </c>
      <c r="B4" s="2">
        <v>16</v>
      </c>
      <c r="C4" s="2">
        <v>16</v>
      </c>
      <c r="D4" s="2">
        <v>3</v>
      </c>
      <c r="E4" s="4">
        <v>1.3709E-5</v>
      </c>
      <c r="F4" s="4">
        <v>1.0155419999999999E-3</v>
      </c>
      <c r="G4" s="2">
        <v>8</v>
      </c>
      <c r="H4" s="1">
        <v>1.8189674139046198E-15</v>
      </c>
      <c r="I4" s="1">
        <v>4.5872107214650304E-15</v>
      </c>
      <c r="J4" s="3">
        <v>2.4502920000000002E-3</v>
      </c>
      <c r="K4" s="3">
        <v>5.8124580000000004E-3</v>
      </c>
      <c r="L4" s="3">
        <v>10.869475917000001</v>
      </c>
    </row>
    <row r="5" spans="1:12" x14ac:dyDescent="0.2">
      <c r="A5" s="2">
        <v>4</v>
      </c>
      <c r="B5" s="2">
        <v>16</v>
      </c>
      <c r="C5" s="2">
        <v>16</v>
      </c>
      <c r="D5" s="2">
        <v>4</v>
      </c>
      <c r="E5" s="4">
        <v>1.3791000000000001E-5</v>
      </c>
      <c r="F5" s="4">
        <v>1.000459E-3</v>
      </c>
      <c r="G5" s="2">
        <v>8</v>
      </c>
      <c r="H5" s="1">
        <v>1.5657210657360499E-7</v>
      </c>
      <c r="I5" s="1">
        <v>6.4391352402582797E-7</v>
      </c>
      <c r="J5" s="3">
        <v>2.4502920000000002E-3</v>
      </c>
      <c r="K5" s="3">
        <v>5.8124580000000004E-3</v>
      </c>
      <c r="L5" s="3">
        <v>10.869475917000001</v>
      </c>
    </row>
    <row r="6" spans="1:12" x14ac:dyDescent="0.2">
      <c r="A6" s="2">
        <v>4</v>
      </c>
      <c r="B6" s="2">
        <v>16</v>
      </c>
      <c r="C6" s="2">
        <v>16</v>
      </c>
      <c r="D6" s="2">
        <v>5</v>
      </c>
      <c r="E6" s="4">
        <v>1.3708E-5</v>
      </c>
      <c r="F6" s="4">
        <v>9.2079100000000001E-4</v>
      </c>
      <c r="G6" s="2">
        <v>8</v>
      </c>
      <c r="H6" s="1">
        <v>1.7391675705115899E-7</v>
      </c>
      <c r="I6" s="1">
        <v>1.0307027673712301E-6</v>
      </c>
      <c r="J6" s="3">
        <v>2.4502920000000002E-3</v>
      </c>
      <c r="K6" s="3">
        <v>5.8124580000000004E-3</v>
      </c>
      <c r="L6" s="3">
        <v>10.869475917000001</v>
      </c>
    </row>
    <row r="7" spans="1:12" x14ac:dyDescent="0.2">
      <c r="A7" s="2">
        <v>4</v>
      </c>
      <c r="B7" s="2">
        <v>16</v>
      </c>
      <c r="C7" s="2">
        <v>16</v>
      </c>
      <c r="D7" s="2">
        <v>6</v>
      </c>
      <c r="E7" s="4">
        <v>1.3375E-5</v>
      </c>
      <c r="F7" s="4">
        <v>1.417459E-3</v>
      </c>
      <c r="G7" s="2">
        <v>8</v>
      </c>
      <c r="H7" s="1">
        <v>1.1667435050750499E-7</v>
      </c>
      <c r="I7" s="1">
        <v>9.0388964310598897E-7</v>
      </c>
      <c r="J7" s="3">
        <v>2.4502920000000002E-3</v>
      </c>
      <c r="K7" s="3">
        <v>5.8124580000000004E-3</v>
      </c>
      <c r="L7" s="3">
        <v>10.869475917000001</v>
      </c>
    </row>
    <row r="8" spans="1:12" x14ac:dyDescent="0.2">
      <c r="A8" s="2">
        <v>4</v>
      </c>
      <c r="B8" s="2">
        <v>16</v>
      </c>
      <c r="C8" s="2">
        <v>16</v>
      </c>
      <c r="D8" s="2">
        <v>7</v>
      </c>
      <c r="E8" s="4">
        <v>1.4083999999999999E-5</v>
      </c>
      <c r="F8" s="4">
        <v>9.8091600000000008E-4</v>
      </c>
      <c r="G8" s="2">
        <v>8</v>
      </c>
      <c r="H8" s="1">
        <v>8.9690055926002602E-8</v>
      </c>
      <c r="I8" s="1">
        <v>8.4795583694117098E-7</v>
      </c>
      <c r="J8" s="3">
        <v>2.4502920000000002E-3</v>
      </c>
      <c r="K8" s="3">
        <v>5.8124580000000004E-3</v>
      </c>
      <c r="L8" s="3">
        <v>10.869475917000001</v>
      </c>
    </row>
    <row r="9" spans="1:12" x14ac:dyDescent="0.2">
      <c r="A9" s="2">
        <v>4</v>
      </c>
      <c r="B9" s="2">
        <v>16</v>
      </c>
      <c r="C9" s="2">
        <v>16</v>
      </c>
      <c r="D9" s="2">
        <v>8</v>
      </c>
      <c r="E9" s="4">
        <v>1.3833E-5</v>
      </c>
      <c r="F9" s="4">
        <v>1.0034169999999999E-3</v>
      </c>
      <c r="G9" s="2">
        <v>8</v>
      </c>
      <c r="H9" s="1">
        <v>7.6849041497036596E-8</v>
      </c>
      <c r="I9" s="1">
        <v>8.5005571270983202E-7</v>
      </c>
      <c r="J9" s="3">
        <v>2.4502920000000002E-3</v>
      </c>
      <c r="K9" s="3">
        <v>5.8124580000000004E-3</v>
      </c>
      <c r="L9" s="3">
        <v>10.869475917000001</v>
      </c>
    </row>
    <row r="10" spans="1:12" x14ac:dyDescent="0.2">
      <c r="A10" s="2">
        <v>4</v>
      </c>
      <c r="B10" s="2">
        <v>16</v>
      </c>
      <c r="C10" s="2">
        <v>16</v>
      </c>
      <c r="D10" s="2">
        <v>9</v>
      </c>
      <c r="E10" s="4">
        <v>1.2500000000000001E-5</v>
      </c>
      <c r="F10" s="4">
        <v>9.0408399999999999E-4</v>
      </c>
      <c r="G10" s="2">
        <v>8</v>
      </c>
      <c r="H10" s="1">
        <v>6.9851785129577006E-8</v>
      </c>
      <c r="I10" s="1">
        <v>8.82432411199213E-7</v>
      </c>
      <c r="J10" s="3">
        <v>2.4502920000000002E-3</v>
      </c>
      <c r="K10" s="3">
        <v>5.8124580000000004E-3</v>
      </c>
      <c r="L10" s="3">
        <v>10.869475917000001</v>
      </c>
    </row>
    <row r="11" spans="1:12" x14ac:dyDescent="0.2">
      <c r="A11" s="2">
        <v>4</v>
      </c>
      <c r="B11" s="2">
        <v>16</v>
      </c>
      <c r="C11" s="2">
        <v>16</v>
      </c>
      <c r="D11" s="2">
        <v>10</v>
      </c>
      <c r="E11" s="4">
        <v>1.3542E-5</v>
      </c>
      <c r="F11" s="4">
        <v>9.68E-4</v>
      </c>
      <c r="G11" s="2">
        <v>8</v>
      </c>
      <c r="H11" s="1">
        <v>6.3729088183145506E-8</v>
      </c>
      <c r="I11" s="1">
        <v>9.06775864543145E-7</v>
      </c>
      <c r="J11" s="3">
        <v>2.4502920000000002E-3</v>
      </c>
      <c r="K11" s="3">
        <v>5.8124580000000004E-3</v>
      </c>
      <c r="L11" s="3">
        <v>10.869475917000001</v>
      </c>
    </row>
    <row r="12" spans="1:12" x14ac:dyDescent="0.2">
      <c r="A12" s="2">
        <v>4</v>
      </c>
      <c r="B12" s="2">
        <v>16</v>
      </c>
      <c r="C12" s="2">
        <v>16</v>
      </c>
      <c r="D12" s="2">
        <v>11</v>
      </c>
      <c r="E12" s="4">
        <v>1.5333E-5</v>
      </c>
      <c r="F12" s="4">
        <v>9.0600000000000001E-4</v>
      </c>
      <c r="G12" s="2">
        <v>8</v>
      </c>
      <c r="H12" s="1">
        <v>5.6810957743160497E-8</v>
      </c>
      <c r="I12" s="1">
        <v>9.0278396066199501E-7</v>
      </c>
      <c r="J12" s="3">
        <v>2.4502920000000002E-3</v>
      </c>
      <c r="K12" s="3">
        <v>5.8124580000000004E-3</v>
      </c>
      <c r="L12" s="3">
        <v>10.869475917000001</v>
      </c>
    </row>
    <row r="13" spans="1:12" x14ac:dyDescent="0.2">
      <c r="A13" s="2">
        <v>4</v>
      </c>
      <c r="B13" s="2">
        <v>16</v>
      </c>
      <c r="C13" s="2">
        <v>16</v>
      </c>
      <c r="D13" s="2">
        <v>12</v>
      </c>
      <c r="E13" s="4">
        <v>1.2875E-5</v>
      </c>
      <c r="F13" s="4">
        <v>9.8295900000000005E-4</v>
      </c>
      <c r="G13" s="2">
        <v>8</v>
      </c>
      <c r="H13" s="1">
        <v>4.96471436340182E-8</v>
      </c>
      <c r="I13" s="1">
        <v>8.7624687023984601E-7</v>
      </c>
      <c r="J13" s="3">
        <v>2.4502920000000002E-3</v>
      </c>
      <c r="K13" s="3">
        <v>5.8124580000000004E-3</v>
      </c>
      <c r="L13" s="3">
        <v>10.869475917000001</v>
      </c>
    </row>
    <row r="14" spans="1:12" x14ac:dyDescent="0.2">
      <c r="A14" s="2">
        <v>4</v>
      </c>
      <c r="B14" s="2">
        <v>16</v>
      </c>
      <c r="C14" s="2">
        <v>16</v>
      </c>
      <c r="D14" s="2">
        <v>13</v>
      </c>
      <c r="E14" s="4">
        <v>1.4250000000000001E-5</v>
      </c>
      <c r="F14" s="4">
        <v>1.0297500000000001E-3</v>
      </c>
      <c r="G14" s="2">
        <v>8</v>
      </c>
      <c r="H14" s="1">
        <v>4.3236357866788497E-8</v>
      </c>
      <c r="I14" s="1">
        <v>8.4419921354076903E-7</v>
      </c>
      <c r="J14" s="3">
        <v>2.4502920000000002E-3</v>
      </c>
      <c r="K14" s="3">
        <v>5.8124580000000004E-3</v>
      </c>
      <c r="L14" s="3">
        <v>10.869475917000001</v>
      </c>
    </row>
    <row r="15" spans="1:12" x14ac:dyDescent="0.2">
      <c r="A15" s="2">
        <v>4</v>
      </c>
      <c r="B15" s="2">
        <v>16</v>
      </c>
      <c r="C15" s="2">
        <v>16</v>
      </c>
      <c r="D15" s="2">
        <v>14</v>
      </c>
      <c r="E15" s="4">
        <v>1.3458999999999999E-5</v>
      </c>
      <c r="F15" s="4">
        <v>1.002792E-3</v>
      </c>
      <c r="G15" s="2">
        <v>8</v>
      </c>
      <c r="H15" s="1">
        <v>3.8070448110489102E-8</v>
      </c>
      <c r="I15" s="1">
        <v>8.1983619912552805E-7</v>
      </c>
      <c r="J15" s="3">
        <v>2.4502920000000002E-3</v>
      </c>
      <c r="K15" s="3">
        <v>5.8124580000000004E-3</v>
      </c>
      <c r="L15" s="3">
        <v>10.869475917000001</v>
      </c>
    </row>
    <row r="16" spans="1:12" x14ac:dyDescent="0.2">
      <c r="A16" s="2">
        <v>4</v>
      </c>
      <c r="B16" s="2">
        <v>16</v>
      </c>
      <c r="C16" s="2">
        <v>16</v>
      </c>
      <c r="D16" s="2">
        <v>15</v>
      </c>
      <c r="E16" s="4">
        <v>1.6084000000000001E-5</v>
      </c>
      <c r="F16" s="4">
        <v>9.9529200000000005E-4</v>
      </c>
      <c r="G16" s="2">
        <v>8</v>
      </c>
      <c r="H16" s="1">
        <v>3.4112420820888603E-8</v>
      </c>
      <c r="I16" s="1">
        <v>8.0818410486683995E-7</v>
      </c>
      <c r="J16" s="3">
        <v>2.4502920000000002E-3</v>
      </c>
      <c r="K16" s="3">
        <v>5.8124580000000004E-3</v>
      </c>
      <c r="L16" s="3">
        <v>10.869475917000001</v>
      </c>
    </row>
    <row r="17" spans="1:12" x14ac:dyDescent="0.2">
      <c r="A17" s="2">
        <v>4</v>
      </c>
      <c r="B17" s="2">
        <v>16</v>
      </c>
      <c r="C17" s="2">
        <v>16</v>
      </c>
      <c r="D17" s="2">
        <v>16</v>
      </c>
      <c r="E17" s="4">
        <v>1.3667E-5</v>
      </c>
      <c r="F17" s="4">
        <v>8.56083E-4</v>
      </c>
      <c r="G17" s="2">
        <v>8</v>
      </c>
      <c r="H17" s="1">
        <v>3.10993338606344E-8</v>
      </c>
      <c r="I17" s="1">
        <v>8.0884755228074103E-7</v>
      </c>
      <c r="J17" s="3">
        <v>2.4502920000000002E-3</v>
      </c>
      <c r="K17" s="3">
        <v>5.8124580000000004E-3</v>
      </c>
      <c r="L17" s="3">
        <v>10.869475917000001</v>
      </c>
    </row>
    <row r="18" spans="1:12" x14ac:dyDescent="0.2">
      <c r="A18" s="2">
        <v>4</v>
      </c>
      <c r="B18" s="2">
        <v>16</v>
      </c>
      <c r="C18" s="2">
        <v>16</v>
      </c>
      <c r="D18" s="2">
        <v>17</v>
      </c>
      <c r="E18" s="4">
        <v>1.3292000000000001E-5</v>
      </c>
      <c r="F18" s="4">
        <v>9.1416700000000002E-4</v>
      </c>
      <c r="G18" s="2">
        <v>8</v>
      </c>
      <c r="H18" s="1">
        <v>2.8761008022866099E-8</v>
      </c>
      <c r="I18" s="1">
        <v>8.1956836739328902E-7</v>
      </c>
      <c r="J18" s="3">
        <v>2.4502920000000002E-3</v>
      </c>
      <c r="K18" s="3">
        <v>5.8124580000000004E-3</v>
      </c>
      <c r="L18" s="3">
        <v>10.869475917000001</v>
      </c>
    </row>
    <row r="19" spans="1:12" x14ac:dyDescent="0.2">
      <c r="A19" s="2">
        <v>4</v>
      </c>
      <c r="B19" s="2">
        <v>16</v>
      </c>
      <c r="C19" s="2">
        <v>16</v>
      </c>
      <c r="D19" s="2">
        <v>18</v>
      </c>
      <c r="E19" s="4">
        <v>1.4167E-5</v>
      </c>
      <c r="F19" s="4">
        <v>9.8512500000000011E-4</v>
      </c>
      <c r="G19" s="2">
        <v>8</v>
      </c>
      <c r="H19" s="1">
        <v>2.6892949174744699E-8</v>
      </c>
      <c r="I19" s="1">
        <v>8.3808241292949204E-7</v>
      </c>
      <c r="J19" s="3">
        <v>2.4502920000000002E-3</v>
      </c>
      <c r="K19" s="3">
        <v>5.8124580000000004E-3</v>
      </c>
      <c r="L19" s="3">
        <v>10.869475917000001</v>
      </c>
    </row>
    <row r="20" spans="1:12" x14ac:dyDescent="0.2">
      <c r="A20" s="2">
        <v>4</v>
      </c>
      <c r="B20" s="2">
        <v>16</v>
      </c>
      <c r="C20" s="2">
        <v>16</v>
      </c>
      <c r="D20" s="2">
        <v>19</v>
      </c>
      <c r="E20" s="4">
        <v>1.5125E-5</v>
      </c>
      <c r="F20" s="4">
        <v>8.9383400000000003E-4</v>
      </c>
      <c r="G20" s="2">
        <v>8</v>
      </c>
      <c r="H20" s="1">
        <v>2.5354058901141199E-8</v>
      </c>
      <c r="I20" s="1">
        <v>8.6257468300092895E-7</v>
      </c>
      <c r="J20" s="3">
        <v>2.4502920000000002E-3</v>
      </c>
      <c r="K20" s="3">
        <v>5.8124580000000004E-3</v>
      </c>
      <c r="L20" s="3">
        <v>10.869475917000001</v>
      </c>
    </row>
    <row r="21" spans="1:12" x14ac:dyDescent="0.2">
      <c r="A21" s="2">
        <v>4</v>
      </c>
      <c r="B21" s="2">
        <v>16</v>
      </c>
      <c r="C21" s="2">
        <v>16</v>
      </c>
      <c r="D21" s="2">
        <v>20</v>
      </c>
      <c r="E21" s="4">
        <v>1.5E-5</v>
      </c>
      <c r="F21" s="4">
        <v>9.859999999999999E-4</v>
      </c>
      <c r="G21" s="2">
        <v>8</v>
      </c>
      <c r="H21" s="1">
        <v>3.8624131345308599E-8</v>
      </c>
      <c r="I21" s="1">
        <v>1.4320567916650899E-6</v>
      </c>
      <c r="J21" s="3">
        <v>2.4502920000000002E-3</v>
      </c>
      <c r="K21" s="3">
        <v>5.8124580000000004E-3</v>
      </c>
      <c r="L21" s="3">
        <v>10.869475917000001</v>
      </c>
    </row>
    <row r="22" spans="1:12" x14ac:dyDescent="0.2">
      <c r="A22" s="2">
        <v>4</v>
      </c>
      <c r="B22" s="2">
        <v>16</v>
      </c>
      <c r="C22" s="2">
        <v>16</v>
      </c>
      <c r="D22" s="2">
        <v>21</v>
      </c>
      <c r="E22" s="4">
        <v>1.3042E-5</v>
      </c>
      <c r="F22" s="4">
        <v>9.9766700000000004E-4</v>
      </c>
      <c r="G22" s="2">
        <v>8</v>
      </c>
      <c r="H22" s="1">
        <v>2.8510203559548099E-8</v>
      </c>
      <c r="I22" s="1">
        <v>1.15004260261945E-6</v>
      </c>
      <c r="J22" s="3">
        <v>2.4502920000000002E-3</v>
      </c>
      <c r="K22" s="3">
        <v>5.8124580000000004E-3</v>
      </c>
      <c r="L22" s="3">
        <v>10.869475917000001</v>
      </c>
    </row>
    <row r="23" spans="1:12" x14ac:dyDescent="0.2">
      <c r="A23" s="2">
        <v>4</v>
      </c>
      <c r="B23" s="2">
        <v>16</v>
      </c>
      <c r="C23" s="2">
        <v>16</v>
      </c>
      <c r="D23" s="2">
        <v>22</v>
      </c>
      <c r="E23" s="4">
        <v>1.4E-5</v>
      </c>
      <c r="F23" s="4">
        <v>9.4304199999999995E-4</v>
      </c>
      <c r="G23" s="2">
        <v>8</v>
      </c>
      <c r="H23" s="1">
        <v>2.41648225259032E-8</v>
      </c>
      <c r="I23" s="1">
        <v>1.05869677941562E-6</v>
      </c>
      <c r="J23" s="3">
        <v>2.4502920000000002E-3</v>
      </c>
      <c r="K23" s="3">
        <v>5.8124580000000004E-3</v>
      </c>
      <c r="L23" s="3">
        <v>10.869475917000001</v>
      </c>
    </row>
    <row r="24" spans="1:12" x14ac:dyDescent="0.2">
      <c r="A24" s="2">
        <v>4</v>
      </c>
      <c r="B24" s="2">
        <v>16</v>
      </c>
      <c r="C24" s="2">
        <v>16</v>
      </c>
      <c r="D24" s="2">
        <v>23</v>
      </c>
      <c r="E24" s="4">
        <v>1.3083E-5</v>
      </c>
      <c r="F24" s="4">
        <v>9.5695800000000005E-4</v>
      </c>
      <c r="G24" s="2">
        <v>7</v>
      </c>
      <c r="H24" s="1">
        <v>2.7924511627669201E-8</v>
      </c>
      <c r="I24" s="1">
        <v>1.32650560874346E-6</v>
      </c>
      <c r="J24" s="3">
        <v>2.4502920000000002E-3</v>
      </c>
      <c r="K24" s="3">
        <v>5.8124580000000004E-3</v>
      </c>
      <c r="L24" s="3">
        <v>10.869475917000001</v>
      </c>
    </row>
    <row r="25" spans="1:12" x14ac:dyDescent="0.2">
      <c r="A25" s="2">
        <v>4</v>
      </c>
      <c r="B25" s="2">
        <v>16</v>
      </c>
      <c r="C25" s="2">
        <v>16</v>
      </c>
      <c r="D25" s="2">
        <v>24</v>
      </c>
      <c r="E25" s="4">
        <v>1.7584E-5</v>
      </c>
      <c r="F25" s="4">
        <v>8.9295800000000001E-4</v>
      </c>
      <c r="G25" s="2">
        <v>7</v>
      </c>
      <c r="H25" s="1">
        <v>2.4349700013906901E-8</v>
      </c>
      <c r="I25" s="1">
        <v>1.25201828483363E-6</v>
      </c>
      <c r="J25" s="3">
        <v>2.4502920000000002E-3</v>
      </c>
      <c r="K25" s="3">
        <v>5.8124580000000004E-3</v>
      </c>
      <c r="L25" s="3">
        <v>10.869475917000001</v>
      </c>
    </row>
    <row r="26" spans="1:12" x14ac:dyDescent="0.2">
      <c r="A26" s="2">
        <v>4</v>
      </c>
      <c r="B26" s="2">
        <v>16</v>
      </c>
      <c r="C26" s="2">
        <v>16</v>
      </c>
      <c r="D26" s="2">
        <v>25</v>
      </c>
      <c r="E26" s="4">
        <v>1.4041E-5</v>
      </c>
      <c r="F26" s="4">
        <v>9.79417E-4</v>
      </c>
      <c r="G26" s="2">
        <v>7</v>
      </c>
      <c r="H26" s="1">
        <v>2.65453197423923E-8</v>
      </c>
      <c r="I26" s="1">
        <v>1.4748662575167999E-6</v>
      </c>
      <c r="J26" s="3">
        <v>2.4502920000000002E-3</v>
      </c>
      <c r="K26" s="3">
        <v>5.8124580000000004E-3</v>
      </c>
      <c r="L26" s="3">
        <v>10.869475917000001</v>
      </c>
    </row>
    <row r="27" spans="1:12" x14ac:dyDescent="0.2">
      <c r="A27" s="2">
        <v>4</v>
      </c>
      <c r="B27" s="2">
        <v>16</v>
      </c>
      <c r="C27" s="2">
        <v>16</v>
      </c>
      <c r="D27" s="2">
        <v>26</v>
      </c>
      <c r="E27" s="4">
        <v>1.3208E-5</v>
      </c>
      <c r="F27" s="4">
        <v>8.8558300000000001E-4</v>
      </c>
      <c r="G27" s="2">
        <v>7</v>
      </c>
      <c r="H27" s="1">
        <v>2.3109963155306702E-8</v>
      </c>
      <c r="I27" s="1">
        <v>1.3850379196748799E-6</v>
      </c>
      <c r="J27" s="3">
        <v>2.4502920000000002E-3</v>
      </c>
      <c r="K27" s="3">
        <v>5.8124580000000004E-3</v>
      </c>
      <c r="L27" s="3">
        <v>10.869475917000001</v>
      </c>
    </row>
    <row r="28" spans="1:12" x14ac:dyDescent="0.2">
      <c r="A28" s="2">
        <v>4</v>
      </c>
      <c r="B28" s="2">
        <v>16</v>
      </c>
      <c r="C28" s="2">
        <v>16</v>
      </c>
      <c r="D28" s="2">
        <v>27</v>
      </c>
      <c r="E28" s="4">
        <v>1.3084E-5</v>
      </c>
      <c r="F28" s="4">
        <v>9.6579200000000004E-4</v>
      </c>
      <c r="G28" s="2">
        <v>7</v>
      </c>
      <c r="H28" s="1">
        <v>2.1119635238059701E-8</v>
      </c>
      <c r="I28" s="1">
        <v>1.3629920252269799E-6</v>
      </c>
      <c r="J28" s="3">
        <v>2.4502920000000002E-3</v>
      </c>
      <c r="K28" s="3">
        <v>5.8124580000000004E-3</v>
      </c>
      <c r="L28" s="3">
        <v>10.869475917000001</v>
      </c>
    </row>
    <row r="29" spans="1:12" x14ac:dyDescent="0.2">
      <c r="A29" s="2">
        <v>4</v>
      </c>
      <c r="B29" s="2">
        <v>16</v>
      </c>
      <c r="C29" s="2">
        <v>16</v>
      </c>
      <c r="D29" s="2">
        <v>28</v>
      </c>
      <c r="E29" s="4">
        <v>1.4457999999999999E-5</v>
      </c>
      <c r="F29" s="4">
        <v>1.3418583E-2</v>
      </c>
      <c r="G29" s="2">
        <v>7</v>
      </c>
      <c r="H29" s="1">
        <v>1.98221054042489E-8</v>
      </c>
      <c r="I29" s="1">
        <v>1.3751359759462101E-6</v>
      </c>
      <c r="J29" s="3">
        <v>2.4502920000000002E-3</v>
      </c>
      <c r="K29" s="3">
        <v>5.8124580000000004E-3</v>
      </c>
      <c r="L29" s="3">
        <v>10.869475917000001</v>
      </c>
    </row>
    <row r="30" spans="1:12" x14ac:dyDescent="0.2">
      <c r="A30" s="2">
        <v>4</v>
      </c>
      <c r="B30" s="2">
        <v>16</v>
      </c>
      <c r="C30" s="2">
        <v>16</v>
      </c>
      <c r="D30" s="2">
        <v>29</v>
      </c>
      <c r="E30" s="4">
        <v>1.7917000000000001E-5</v>
      </c>
      <c r="F30" s="4">
        <v>1.015333E-3</v>
      </c>
      <c r="G30" s="2">
        <v>7</v>
      </c>
      <c r="H30" s="1">
        <v>1.8867867832926899E-8</v>
      </c>
      <c r="I30" s="1">
        <v>1.4045953192510499E-6</v>
      </c>
      <c r="J30" s="3">
        <v>2.4502920000000002E-3</v>
      </c>
      <c r="K30" s="3">
        <v>5.8124580000000004E-3</v>
      </c>
      <c r="L30" s="3">
        <v>10.869475917000001</v>
      </c>
    </row>
    <row r="31" spans="1:12" x14ac:dyDescent="0.2">
      <c r="A31" s="2">
        <v>4</v>
      </c>
      <c r="B31" s="2">
        <v>16</v>
      </c>
      <c r="C31" s="2">
        <v>16</v>
      </c>
      <c r="D31" s="2">
        <v>30</v>
      </c>
      <c r="E31" s="4">
        <v>1.4E-5</v>
      </c>
      <c r="F31" s="4">
        <v>9.7362499999999999E-4</v>
      </c>
      <c r="G31" s="2">
        <v>7</v>
      </c>
      <c r="H31" s="1">
        <v>1.80940704717297E-8</v>
      </c>
      <c r="I31" s="1">
        <v>1.4429174217937501E-6</v>
      </c>
      <c r="J31" s="3">
        <v>2.4502920000000002E-3</v>
      </c>
      <c r="K31" s="3">
        <v>5.8124580000000004E-3</v>
      </c>
      <c r="L31" s="3">
        <v>10.869475917000001</v>
      </c>
    </row>
    <row r="32" spans="1:12" x14ac:dyDescent="0.2">
      <c r="A32" s="2">
        <v>4</v>
      </c>
      <c r="B32" s="2">
        <v>16</v>
      </c>
      <c r="C32" s="2">
        <v>16</v>
      </c>
      <c r="D32" s="2">
        <v>31</v>
      </c>
      <c r="E32" s="4">
        <v>1.3292000000000001E-5</v>
      </c>
      <c r="F32" s="4">
        <v>9.4412499999999998E-4</v>
      </c>
      <c r="G32" s="2">
        <v>7</v>
      </c>
      <c r="H32" s="1">
        <v>1.74241973441689E-8</v>
      </c>
      <c r="I32" s="1">
        <v>1.4858725153049299E-6</v>
      </c>
      <c r="J32" s="3">
        <v>2.4502920000000002E-3</v>
      </c>
      <c r="K32" s="3">
        <v>5.8124580000000004E-3</v>
      </c>
      <c r="L32" s="3">
        <v>10.869475917000001</v>
      </c>
    </row>
    <row r="33" spans="1:12" x14ac:dyDescent="0.2">
      <c r="A33" s="2">
        <v>4</v>
      </c>
      <c r="B33" s="2">
        <v>16</v>
      </c>
      <c r="C33" s="2">
        <v>16</v>
      </c>
      <c r="D33" s="2">
        <v>32</v>
      </c>
      <c r="E33" s="4">
        <v>1.3667E-5</v>
      </c>
      <c r="F33" s="4">
        <v>9.0879100000000005E-4</v>
      </c>
      <c r="G33" s="2">
        <v>6</v>
      </c>
      <c r="H33" s="1">
        <v>1.98068013931206E-8</v>
      </c>
      <c r="I33" s="1">
        <v>1.8030915649066099E-6</v>
      </c>
      <c r="J33" s="3">
        <v>2.4502920000000002E-3</v>
      </c>
      <c r="K33" s="3">
        <v>5.8124580000000004E-3</v>
      </c>
      <c r="L33" s="3">
        <v>10.869475917000001</v>
      </c>
    </row>
    <row r="34" spans="1:12" x14ac:dyDescent="0.2">
      <c r="A34" s="2">
        <v>4</v>
      </c>
      <c r="B34" s="2">
        <v>16</v>
      </c>
      <c r="C34" s="2">
        <v>16</v>
      </c>
      <c r="D34" s="2">
        <v>33</v>
      </c>
      <c r="E34" s="4">
        <v>1.3042E-5</v>
      </c>
      <c r="F34" s="4">
        <v>8.5962500000000004E-4</v>
      </c>
      <c r="G34" s="2">
        <v>6</v>
      </c>
      <c r="H34" s="1">
        <v>1.8925353934060801E-8</v>
      </c>
      <c r="I34" s="1">
        <v>1.83602859391197E-6</v>
      </c>
      <c r="J34" s="3">
        <v>2.4502920000000002E-3</v>
      </c>
      <c r="K34" s="3">
        <v>5.8124580000000004E-3</v>
      </c>
      <c r="L34" s="3">
        <v>10.869475917000001</v>
      </c>
    </row>
    <row r="35" spans="1:12" x14ac:dyDescent="0.2">
      <c r="A35" s="2">
        <v>4</v>
      </c>
      <c r="B35" s="2">
        <v>16</v>
      </c>
      <c r="C35" s="2">
        <v>16</v>
      </c>
      <c r="D35" s="2">
        <v>34</v>
      </c>
      <c r="E35" s="4">
        <v>1.3040999999999999E-5</v>
      </c>
      <c r="F35" s="4">
        <v>9.4616700000000004E-4</v>
      </c>
      <c r="G35" s="2">
        <v>6</v>
      </c>
      <c r="H35" s="1">
        <v>1.82504059242609E-8</v>
      </c>
      <c r="I35" s="1">
        <v>1.88367250562726E-6</v>
      </c>
      <c r="J35" s="3">
        <v>2.4502920000000002E-3</v>
      </c>
      <c r="K35" s="3">
        <v>5.8124580000000004E-3</v>
      </c>
      <c r="L35" s="3">
        <v>10.869475917000001</v>
      </c>
    </row>
    <row r="36" spans="1:12" x14ac:dyDescent="0.2">
      <c r="A36" s="2">
        <v>4</v>
      </c>
      <c r="B36" s="2">
        <v>16</v>
      </c>
      <c r="C36" s="2">
        <v>16</v>
      </c>
      <c r="D36" s="2">
        <v>35</v>
      </c>
      <c r="E36" s="4">
        <v>1.3083E-5</v>
      </c>
      <c r="F36" s="4">
        <v>1.256458E-3</v>
      </c>
      <c r="G36" s="2">
        <v>6</v>
      </c>
      <c r="H36" s="1">
        <v>1.76964484498319E-8</v>
      </c>
      <c r="I36" s="1">
        <v>1.93995575552883E-6</v>
      </c>
      <c r="J36" s="3">
        <v>2.4502920000000002E-3</v>
      </c>
      <c r="K36" s="3">
        <v>5.8124580000000004E-3</v>
      </c>
      <c r="L36" s="3">
        <v>10.869475917000001</v>
      </c>
    </row>
    <row r="37" spans="1:12" x14ac:dyDescent="0.2">
      <c r="A37" s="2">
        <v>4</v>
      </c>
      <c r="B37" s="2">
        <v>16</v>
      </c>
      <c r="C37" s="2">
        <v>16</v>
      </c>
      <c r="D37" s="2">
        <v>36</v>
      </c>
      <c r="E37" s="4">
        <v>1.3708E-5</v>
      </c>
      <c r="F37" s="4">
        <v>9.8270800000000011E-4</v>
      </c>
      <c r="G37" s="2">
        <v>6</v>
      </c>
      <c r="H37" s="1">
        <v>1.7219174907220501E-8</v>
      </c>
      <c r="I37" s="1">
        <v>2.0016032723466699E-6</v>
      </c>
      <c r="J37" s="3">
        <v>2.4502920000000002E-3</v>
      </c>
      <c r="K37" s="3">
        <v>5.8124580000000004E-3</v>
      </c>
      <c r="L37" s="3">
        <v>10.869475917000001</v>
      </c>
    </row>
    <row r="38" spans="1:12" x14ac:dyDescent="0.2">
      <c r="A38" s="2">
        <v>4</v>
      </c>
      <c r="B38" s="2">
        <v>16</v>
      </c>
      <c r="C38" s="2">
        <v>16</v>
      </c>
      <c r="D38" s="2">
        <v>37</v>
      </c>
      <c r="E38" s="4">
        <v>1.3375E-5</v>
      </c>
      <c r="F38" s="4">
        <v>9.8041600000000001E-4</v>
      </c>
      <c r="G38" s="2">
        <v>6</v>
      </c>
      <c r="H38" s="1">
        <v>1.6792149351046899E-8</v>
      </c>
      <c r="I38" s="1">
        <v>2.06648567115474E-6</v>
      </c>
      <c r="J38" s="3">
        <v>2.4502920000000002E-3</v>
      </c>
      <c r="K38" s="3">
        <v>5.8124580000000004E-3</v>
      </c>
      <c r="L38" s="3">
        <v>10.869475917000001</v>
      </c>
    </row>
    <row r="39" spans="1:12" x14ac:dyDescent="0.2">
      <c r="A39" s="2">
        <v>4</v>
      </c>
      <c r="B39" s="2">
        <v>16</v>
      </c>
      <c r="C39" s="2">
        <v>16</v>
      </c>
      <c r="D39" s="2">
        <v>38</v>
      </c>
      <c r="E39" s="4">
        <v>1.3291E-5</v>
      </c>
      <c r="F39" s="4">
        <v>8.7470799999999997E-4</v>
      </c>
      <c r="G39" s="2">
        <v>6</v>
      </c>
      <c r="H39" s="1">
        <v>1.63982447018669E-8</v>
      </c>
      <c r="I39" s="1">
        <v>2.1330415556310101E-6</v>
      </c>
      <c r="J39" s="3">
        <v>2.4502920000000002E-3</v>
      </c>
      <c r="K39" s="3">
        <v>5.8124580000000004E-3</v>
      </c>
      <c r="L39" s="3">
        <v>10.869475917000001</v>
      </c>
    </row>
    <row r="40" spans="1:12" x14ac:dyDescent="0.2">
      <c r="A40" s="2">
        <v>4</v>
      </c>
      <c r="B40" s="2">
        <v>16</v>
      </c>
      <c r="C40" s="2">
        <v>16</v>
      </c>
      <c r="D40" s="2">
        <v>39</v>
      </c>
      <c r="E40" s="4">
        <v>1.6291999999999999E-5</v>
      </c>
      <c r="F40" s="4">
        <v>1.0133340000000001E-3</v>
      </c>
      <c r="G40" s="2">
        <v>6</v>
      </c>
      <c r="H40" s="1">
        <v>1.690274879312E-8</v>
      </c>
      <c r="I40" s="1">
        <v>2.3204212520261901E-6</v>
      </c>
      <c r="J40" s="3">
        <v>2.4502920000000002E-3</v>
      </c>
      <c r="K40" s="3">
        <v>5.8124580000000004E-3</v>
      </c>
      <c r="L40" s="3">
        <v>10.869475917000001</v>
      </c>
    </row>
    <row r="41" spans="1:12" x14ac:dyDescent="0.2">
      <c r="A41" s="2">
        <v>4</v>
      </c>
      <c r="B41" s="2">
        <v>16</v>
      </c>
      <c r="C41" s="2">
        <v>16</v>
      </c>
      <c r="D41" s="2">
        <v>40</v>
      </c>
      <c r="E41" s="4">
        <v>1.3458000000000001E-5</v>
      </c>
      <c r="F41" s="4">
        <v>1.2397910000000001E-3</v>
      </c>
      <c r="G41" s="2">
        <v>6</v>
      </c>
      <c r="H41" s="1">
        <v>1.7592766137037999E-8</v>
      </c>
      <c r="I41" s="1">
        <v>2.5450739991204398E-6</v>
      </c>
      <c r="J41" s="3">
        <v>2.4502920000000002E-3</v>
      </c>
      <c r="K41" s="3">
        <v>5.8124580000000004E-3</v>
      </c>
      <c r="L41" s="3">
        <v>10.869475917000001</v>
      </c>
    </row>
    <row r="42" spans="1:12" x14ac:dyDescent="0.2">
      <c r="A42" s="2">
        <v>4</v>
      </c>
      <c r="B42" s="2">
        <v>16</v>
      </c>
      <c r="C42" s="2">
        <v>16</v>
      </c>
      <c r="D42" s="2">
        <v>41</v>
      </c>
      <c r="E42" s="4">
        <v>2.2291999999999999E-5</v>
      </c>
      <c r="F42" s="4">
        <v>9.9733299999999999E-4</v>
      </c>
      <c r="G42" s="2">
        <v>6</v>
      </c>
      <c r="H42" s="1">
        <v>1.6613377495361301E-8</v>
      </c>
      <c r="I42" s="1">
        <v>2.52900025625448E-6</v>
      </c>
      <c r="J42" s="3">
        <v>2.4502920000000002E-3</v>
      </c>
      <c r="K42" s="3">
        <v>5.8124580000000004E-3</v>
      </c>
      <c r="L42" s="3">
        <v>10.869475917000001</v>
      </c>
    </row>
    <row r="43" spans="1:12" x14ac:dyDescent="0.2">
      <c r="A43" s="2">
        <v>4</v>
      </c>
      <c r="B43" s="2">
        <v>16</v>
      </c>
      <c r="C43" s="2">
        <v>16</v>
      </c>
      <c r="D43" s="2">
        <v>42</v>
      </c>
      <c r="E43" s="4">
        <v>1.5458E-5</v>
      </c>
      <c r="F43" s="4">
        <v>8.2633399999999997E-4</v>
      </c>
      <c r="G43" s="2">
        <v>6</v>
      </c>
      <c r="H43" s="1">
        <v>1.6617021304331598E-8</v>
      </c>
      <c r="I43" s="1">
        <v>2.65800737912997E-6</v>
      </c>
      <c r="J43" s="3">
        <v>2.4502920000000002E-3</v>
      </c>
      <c r="K43" s="3">
        <v>5.8124580000000004E-3</v>
      </c>
      <c r="L43" s="3">
        <v>10.869475917000001</v>
      </c>
    </row>
    <row r="44" spans="1:12" x14ac:dyDescent="0.2">
      <c r="A44" s="2">
        <v>4</v>
      </c>
      <c r="B44" s="2">
        <v>16</v>
      </c>
      <c r="C44" s="2">
        <v>16</v>
      </c>
      <c r="D44" s="2">
        <v>43</v>
      </c>
      <c r="E44" s="4">
        <v>1.4083999999999999E-5</v>
      </c>
      <c r="F44" s="4">
        <v>1.0749170000000001E-3</v>
      </c>
      <c r="G44" s="2">
        <v>6</v>
      </c>
      <c r="H44" s="1">
        <v>1.5714433214676001E-8</v>
      </c>
      <c r="I44" s="1">
        <v>2.6376763033573601E-6</v>
      </c>
      <c r="J44" s="3">
        <v>2.4502920000000002E-3</v>
      </c>
      <c r="K44" s="3">
        <v>5.8124580000000004E-3</v>
      </c>
      <c r="L44" s="3">
        <v>10.869475917000001</v>
      </c>
    </row>
    <row r="45" spans="1:12" x14ac:dyDescent="0.2">
      <c r="A45" s="2">
        <v>4</v>
      </c>
      <c r="B45" s="2">
        <v>16</v>
      </c>
      <c r="C45" s="2">
        <v>16</v>
      </c>
      <c r="D45" s="2">
        <v>44</v>
      </c>
      <c r="E45" s="4">
        <v>1.4584E-5</v>
      </c>
      <c r="F45" s="4">
        <v>8.1604099999999999E-4</v>
      </c>
      <c r="G45" s="2">
        <v>6</v>
      </c>
      <c r="H45" s="1">
        <v>1.5509579558743301E-8</v>
      </c>
      <c r="I45" s="1">
        <v>2.7281683139005401E-6</v>
      </c>
      <c r="J45" s="3">
        <v>2.4502920000000002E-3</v>
      </c>
      <c r="K45" s="3">
        <v>5.8124580000000004E-3</v>
      </c>
      <c r="L45" s="3">
        <v>10.869475917000001</v>
      </c>
    </row>
    <row r="46" spans="1:12" x14ac:dyDescent="0.2">
      <c r="A46" s="2">
        <v>4</v>
      </c>
      <c r="B46" s="2">
        <v>16</v>
      </c>
      <c r="C46" s="2">
        <v>16</v>
      </c>
      <c r="D46" s="2">
        <v>45</v>
      </c>
      <c r="E46" s="4">
        <v>1.7125E-5</v>
      </c>
      <c r="F46" s="4">
        <v>8.9941700000000001E-4</v>
      </c>
      <c r="G46" s="2">
        <v>6</v>
      </c>
      <c r="H46" s="1">
        <v>1.58536277673434E-8</v>
      </c>
      <c r="I46" s="1">
        <v>2.9187577875469001E-6</v>
      </c>
      <c r="J46" s="3">
        <v>2.4502920000000002E-3</v>
      </c>
      <c r="K46" s="3">
        <v>5.8124580000000004E-3</v>
      </c>
      <c r="L46" s="3">
        <v>10.869475917000001</v>
      </c>
    </row>
    <row r="47" spans="1:12" x14ac:dyDescent="0.2">
      <c r="A47" s="2">
        <v>4</v>
      </c>
      <c r="B47" s="2">
        <v>16</v>
      </c>
      <c r="C47" s="2">
        <v>16</v>
      </c>
      <c r="D47" s="2">
        <v>46</v>
      </c>
      <c r="E47" s="4">
        <v>1.5667000000000001E-5</v>
      </c>
      <c r="F47" s="4">
        <v>1.002167E-3</v>
      </c>
      <c r="G47" s="2">
        <v>6</v>
      </c>
      <c r="H47" s="1">
        <v>1.6613841565094601E-8</v>
      </c>
      <c r="I47" s="1">
        <v>3.1974902404978898E-6</v>
      </c>
      <c r="J47" s="3">
        <v>2.4502920000000002E-3</v>
      </c>
      <c r="K47" s="3">
        <v>5.8124580000000004E-3</v>
      </c>
      <c r="L47" s="3">
        <v>10.869475917000001</v>
      </c>
    </row>
    <row r="48" spans="1:12" x14ac:dyDescent="0.2">
      <c r="A48" s="2">
        <v>4</v>
      </c>
      <c r="B48" s="2">
        <v>16</v>
      </c>
      <c r="C48" s="2">
        <v>16</v>
      </c>
      <c r="D48" s="2">
        <v>47</v>
      </c>
      <c r="E48" s="4">
        <v>1.3334E-5</v>
      </c>
      <c r="F48" s="4">
        <v>8.8129199999999999E-4</v>
      </c>
      <c r="G48" s="2">
        <v>6</v>
      </c>
      <c r="H48" s="1">
        <v>1.4638922747925499E-8</v>
      </c>
      <c r="I48" s="1">
        <v>2.9417873468108498E-6</v>
      </c>
      <c r="J48" s="3">
        <v>2.4502920000000002E-3</v>
      </c>
      <c r="K48" s="3">
        <v>5.8124580000000004E-3</v>
      </c>
      <c r="L48" s="3">
        <v>10.869475917000001</v>
      </c>
    </row>
    <row r="49" spans="1:12" x14ac:dyDescent="0.2">
      <c r="A49" s="2">
        <v>4</v>
      </c>
      <c r="B49" s="2">
        <v>16</v>
      </c>
      <c r="C49" s="2">
        <v>16</v>
      </c>
      <c r="D49" s="2">
        <v>48</v>
      </c>
      <c r="E49" s="4">
        <v>1.3375E-5</v>
      </c>
      <c r="F49" s="4">
        <v>9.1733299999999999E-4</v>
      </c>
      <c r="G49" s="2">
        <v>6</v>
      </c>
      <c r="H49" s="1">
        <v>1.34409178107707E-8</v>
      </c>
      <c r="I49" s="1">
        <v>2.8171439515835502E-6</v>
      </c>
      <c r="J49" s="3">
        <v>2.4502920000000002E-3</v>
      </c>
      <c r="K49" s="3">
        <v>5.8124580000000004E-3</v>
      </c>
      <c r="L49" s="3">
        <v>10.869475917000001</v>
      </c>
    </row>
    <row r="50" spans="1:12" x14ac:dyDescent="0.2">
      <c r="A50" s="2">
        <v>4</v>
      </c>
      <c r="B50" s="2">
        <v>16</v>
      </c>
      <c r="C50" s="2">
        <v>16</v>
      </c>
      <c r="D50" s="2">
        <v>49</v>
      </c>
      <c r="E50" s="4">
        <v>1.9667E-5</v>
      </c>
      <c r="F50" s="4">
        <v>8.7508400000000004E-4</v>
      </c>
      <c r="G50" s="2">
        <v>6</v>
      </c>
      <c r="H50" s="1">
        <v>1.2649139467269601E-8</v>
      </c>
      <c r="I50" s="1">
        <v>2.7622032232278399E-6</v>
      </c>
      <c r="J50" s="3">
        <v>2.4502920000000002E-3</v>
      </c>
      <c r="K50" s="3">
        <v>5.8124580000000004E-3</v>
      </c>
      <c r="L50" s="3">
        <v>10.869475917000001</v>
      </c>
    </row>
    <row r="51" spans="1:12" x14ac:dyDescent="0.2">
      <c r="A51" s="2">
        <v>4</v>
      </c>
      <c r="B51" s="2">
        <v>16</v>
      </c>
      <c r="C51" s="2">
        <v>16</v>
      </c>
      <c r="D51" s="2">
        <v>50</v>
      </c>
      <c r="E51" s="4">
        <v>1.4708999999999999E-5</v>
      </c>
      <c r="F51" s="4">
        <v>8.64167E-4</v>
      </c>
      <c r="G51" s="2">
        <v>6</v>
      </c>
      <c r="H51" s="1">
        <v>1.20772425800914E-8</v>
      </c>
      <c r="I51" s="1">
        <v>2.74495307150238E-6</v>
      </c>
      <c r="J51" s="3">
        <v>2.4502920000000002E-3</v>
      </c>
      <c r="K51" s="3">
        <v>5.8124580000000004E-3</v>
      </c>
      <c r="L51" s="3">
        <v>10.869475917000001</v>
      </c>
    </row>
    <row r="52" spans="1:12" x14ac:dyDescent="0.2">
      <c r="A52" s="2">
        <v>4</v>
      </c>
      <c r="B52" s="2">
        <v>16</v>
      </c>
      <c r="C52" s="2">
        <v>16</v>
      </c>
      <c r="D52" s="2">
        <v>51</v>
      </c>
      <c r="E52" s="4">
        <v>2.5999999999999998E-5</v>
      </c>
      <c r="F52" s="4">
        <v>8.8837499999999995E-4</v>
      </c>
      <c r="G52" s="2">
        <v>6</v>
      </c>
      <c r="H52" s="1">
        <v>1.16314026960397E-8</v>
      </c>
      <c r="I52" s="1">
        <v>2.7488479376098201E-6</v>
      </c>
      <c r="J52" s="3">
        <v>2.4502920000000002E-3</v>
      </c>
      <c r="K52" s="3">
        <v>5.8124580000000004E-3</v>
      </c>
      <c r="L52" s="3">
        <v>10.869475917000001</v>
      </c>
    </row>
    <row r="53" spans="1:12" x14ac:dyDescent="0.2">
      <c r="A53" s="2">
        <v>4</v>
      </c>
      <c r="B53" s="2">
        <v>16</v>
      </c>
      <c r="C53" s="2">
        <v>16</v>
      </c>
      <c r="D53" s="2">
        <v>52</v>
      </c>
      <c r="E53" s="4">
        <v>1.3584000000000001E-5</v>
      </c>
      <c r="F53" s="4">
        <v>8.3866599999999996E-4</v>
      </c>
      <c r="G53" s="2">
        <v>6</v>
      </c>
      <c r="H53" s="1">
        <v>1.1262812205491101E-8</v>
      </c>
      <c r="I53" s="1">
        <v>2.7651365548332799E-6</v>
      </c>
      <c r="J53" s="3">
        <v>2.4502920000000002E-3</v>
      </c>
      <c r="K53" s="3">
        <v>5.8124580000000004E-3</v>
      </c>
      <c r="L53" s="3">
        <v>10.869475917000001</v>
      </c>
    </row>
    <row r="54" spans="1:12" x14ac:dyDescent="0.2">
      <c r="A54" s="2">
        <v>4</v>
      </c>
      <c r="B54" s="2">
        <v>16</v>
      </c>
      <c r="C54" s="2">
        <v>16</v>
      </c>
      <c r="D54" s="2">
        <v>53</v>
      </c>
      <c r="E54" s="4">
        <v>1.3709E-5</v>
      </c>
      <c r="F54" s="4">
        <v>8.81458E-4</v>
      </c>
      <c r="G54" s="2">
        <v>6</v>
      </c>
      <c r="H54" s="1">
        <v>1.09447575769041E-8</v>
      </c>
      <c r="I54" s="1">
        <v>2.78898872876786E-6</v>
      </c>
      <c r="J54" s="3">
        <v>2.4502920000000002E-3</v>
      </c>
      <c r="K54" s="3">
        <v>5.8124580000000004E-3</v>
      </c>
      <c r="L54" s="3">
        <v>10.869475917000001</v>
      </c>
    </row>
    <row r="55" spans="1:12" x14ac:dyDescent="0.2">
      <c r="A55" s="2">
        <v>4</v>
      </c>
      <c r="B55" s="2">
        <v>16</v>
      </c>
      <c r="C55" s="2">
        <v>16</v>
      </c>
      <c r="D55" s="2">
        <v>54</v>
      </c>
      <c r="E55" s="4">
        <v>1.3125000000000001E-5</v>
      </c>
      <c r="F55" s="4">
        <v>1.223292E-3</v>
      </c>
      <c r="G55" s="2">
        <v>6</v>
      </c>
      <c r="H55" s="1">
        <v>1.0661754474668099E-8</v>
      </c>
      <c r="I55" s="1">
        <v>2.8176009312464599E-6</v>
      </c>
      <c r="J55" s="3">
        <v>2.4502920000000002E-3</v>
      </c>
      <c r="K55" s="3">
        <v>5.8124580000000004E-3</v>
      </c>
      <c r="L55" s="3">
        <v>10.869475917000001</v>
      </c>
    </row>
    <row r="56" spans="1:12" x14ac:dyDescent="0.2">
      <c r="A56" s="2">
        <v>4</v>
      </c>
      <c r="B56" s="2">
        <v>16</v>
      </c>
      <c r="C56" s="2">
        <v>16</v>
      </c>
      <c r="D56" s="2">
        <v>55</v>
      </c>
      <c r="E56" s="4">
        <v>1.5583999999999999E-5</v>
      </c>
      <c r="F56" s="4">
        <v>9.9354200000000004E-4</v>
      </c>
      <c r="G56" s="2">
        <v>6</v>
      </c>
      <c r="H56" s="1">
        <v>1.04043167453225E-8</v>
      </c>
      <c r="I56" s="1">
        <v>2.8492649272811501E-6</v>
      </c>
      <c r="J56" s="3">
        <v>2.4502920000000002E-3</v>
      </c>
      <c r="K56" s="3">
        <v>5.8124580000000004E-3</v>
      </c>
      <c r="L56" s="3">
        <v>10.869475917000001</v>
      </c>
    </row>
    <row r="57" spans="1:12" x14ac:dyDescent="0.2">
      <c r="A57" s="2">
        <v>4</v>
      </c>
      <c r="B57" s="2">
        <v>16</v>
      </c>
      <c r="C57" s="2">
        <v>16</v>
      </c>
      <c r="D57" s="2">
        <v>56</v>
      </c>
      <c r="E57" s="4">
        <v>1.2875E-5</v>
      </c>
      <c r="F57" s="4">
        <v>9.3216700000000002E-4</v>
      </c>
      <c r="G57" s="2">
        <v>6</v>
      </c>
      <c r="H57" s="1">
        <v>1.0166343496994899E-8</v>
      </c>
      <c r="I57" s="1">
        <v>2.88289660515304E-6</v>
      </c>
      <c r="J57" s="3">
        <v>2.4502920000000002E-3</v>
      </c>
      <c r="K57" s="3">
        <v>5.8124580000000004E-3</v>
      </c>
      <c r="L57" s="3">
        <v>10.869475917000001</v>
      </c>
    </row>
    <row r="58" spans="1:12" x14ac:dyDescent="0.2">
      <c r="A58" s="2">
        <v>4</v>
      </c>
      <c r="B58" s="2">
        <v>16</v>
      </c>
      <c r="C58" s="2">
        <v>16</v>
      </c>
      <c r="D58" s="2">
        <v>57</v>
      </c>
      <c r="E58" s="4">
        <v>1.5E-5</v>
      </c>
      <c r="F58" s="4">
        <v>1.0480419999999999E-3</v>
      </c>
      <c r="G58" s="2">
        <v>6</v>
      </c>
      <c r="H58" s="1">
        <v>9.9437484827687397E-9</v>
      </c>
      <c r="I58" s="1">
        <v>2.9177870465828201E-6</v>
      </c>
      <c r="J58" s="3">
        <v>2.4502920000000002E-3</v>
      </c>
      <c r="K58" s="3">
        <v>5.8124580000000004E-3</v>
      </c>
      <c r="L58" s="3">
        <v>10.869475917000001</v>
      </c>
    </row>
    <row r="59" spans="1:12" x14ac:dyDescent="0.2">
      <c r="A59" s="2">
        <v>4</v>
      </c>
      <c r="B59" s="2">
        <v>16</v>
      </c>
      <c r="C59" s="2">
        <v>16</v>
      </c>
      <c r="D59" s="2">
        <v>58</v>
      </c>
      <c r="E59" s="4">
        <v>1.3125000000000001E-5</v>
      </c>
      <c r="F59" s="4">
        <v>9.7008399999999996E-4</v>
      </c>
      <c r="G59" s="2">
        <v>6</v>
      </c>
      <c r="H59" s="1">
        <v>9.7337014680110799E-9</v>
      </c>
      <c r="I59" s="1">
        <v>2.9534640409314899E-6</v>
      </c>
      <c r="J59" s="3">
        <v>2.4502920000000002E-3</v>
      </c>
      <c r="K59" s="3">
        <v>5.8124580000000004E-3</v>
      </c>
      <c r="L59" s="3">
        <v>10.869475917000001</v>
      </c>
    </row>
    <row r="60" spans="1:12" x14ac:dyDescent="0.2">
      <c r="A60" s="2">
        <v>4</v>
      </c>
      <c r="B60" s="2">
        <v>16</v>
      </c>
      <c r="C60" s="2">
        <v>16</v>
      </c>
      <c r="D60" s="2">
        <v>59</v>
      </c>
      <c r="E60" s="4">
        <v>1.3625000000000001E-5</v>
      </c>
      <c r="F60" s="4">
        <v>9.9139999999999992E-3</v>
      </c>
      <c r="G60" s="2">
        <v>6</v>
      </c>
      <c r="H60" s="1">
        <v>9.5341858675912299E-9</v>
      </c>
      <c r="I60" s="1">
        <v>2.98961081174483E-6</v>
      </c>
      <c r="J60" s="3">
        <v>2.4502920000000002E-3</v>
      </c>
      <c r="K60" s="3">
        <v>5.8124580000000004E-3</v>
      </c>
      <c r="L60" s="3">
        <v>10.869475917000001</v>
      </c>
    </row>
    <row r="61" spans="1:12" x14ac:dyDescent="0.2">
      <c r="A61" s="2">
        <v>4</v>
      </c>
      <c r="B61" s="2">
        <v>16</v>
      </c>
      <c r="C61" s="2">
        <v>16</v>
      </c>
      <c r="D61" s="2">
        <v>60</v>
      </c>
      <c r="E61" s="4">
        <v>1.4416999999999999E-5</v>
      </c>
      <c r="F61" s="4">
        <v>8.8241600000000002E-4</v>
      </c>
      <c r="G61" s="2">
        <v>6</v>
      </c>
      <c r="H61" s="1">
        <v>9.3437285282094797E-9</v>
      </c>
      <c r="I61" s="1">
        <v>3.0260158530793002E-6</v>
      </c>
      <c r="J61" s="3">
        <v>2.4502920000000002E-3</v>
      </c>
      <c r="K61" s="3">
        <v>5.8124580000000004E-3</v>
      </c>
      <c r="L61" s="3">
        <v>10.869475917000001</v>
      </c>
    </row>
    <row r="62" spans="1:12" x14ac:dyDescent="0.2">
      <c r="A62" s="2">
        <v>4</v>
      </c>
      <c r="B62" s="2">
        <v>16</v>
      </c>
      <c r="C62" s="2">
        <v>16</v>
      </c>
      <c r="D62" s="2">
        <v>61</v>
      </c>
      <c r="E62" s="4">
        <v>1.3084E-5</v>
      </c>
      <c r="F62" s="4">
        <v>8.5783300000000001E-4</v>
      </c>
      <c r="G62" s="2">
        <v>6</v>
      </c>
      <c r="H62" s="1">
        <v>9.1612281743170198E-9</v>
      </c>
      <c r="I62" s="1">
        <v>3.0625405918780999E-6</v>
      </c>
      <c r="J62" s="3">
        <v>2.4502920000000002E-3</v>
      </c>
      <c r="K62" s="3">
        <v>5.8124580000000004E-3</v>
      </c>
      <c r="L62" s="3">
        <v>10.869475917000001</v>
      </c>
    </row>
    <row r="63" spans="1:12" x14ac:dyDescent="0.2">
      <c r="A63" s="2">
        <v>4</v>
      </c>
      <c r="B63" s="2">
        <v>16</v>
      </c>
      <c r="C63" s="2">
        <v>16</v>
      </c>
      <c r="D63" s="2">
        <v>62</v>
      </c>
      <c r="E63" s="4">
        <v>1.4E-5</v>
      </c>
      <c r="F63" s="4">
        <v>9.1579200000000002E-4</v>
      </c>
      <c r="G63" s="2">
        <v>6</v>
      </c>
      <c r="H63" s="1">
        <v>8.9858430228722303E-9</v>
      </c>
      <c r="I63" s="1">
        <v>3.0990977682866801E-6</v>
      </c>
      <c r="J63" s="3">
        <v>2.4502920000000002E-3</v>
      </c>
      <c r="K63" s="3">
        <v>5.8124580000000004E-3</v>
      </c>
      <c r="L63" s="3">
        <v>10.869475917000001</v>
      </c>
    </row>
    <row r="64" spans="1:12" x14ac:dyDescent="0.2">
      <c r="A64" s="2">
        <v>4</v>
      </c>
      <c r="B64" s="2">
        <v>16</v>
      </c>
      <c r="C64" s="2">
        <v>16</v>
      </c>
      <c r="D64" s="2">
        <v>63</v>
      </c>
      <c r="E64" s="4">
        <v>1.4167E-5</v>
      </c>
      <c r="F64" s="4">
        <v>9.5220899999999998E-4</v>
      </c>
      <c r="G64" s="2">
        <v>6</v>
      </c>
      <c r="H64" s="1">
        <v>8.8169153958957101E-9</v>
      </c>
      <c r="I64" s="1">
        <v>3.13563658436516E-6</v>
      </c>
      <c r="J64" s="3">
        <v>2.4502920000000002E-3</v>
      </c>
      <c r="K64" s="3">
        <v>5.8124580000000004E-3</v>
      </c>
      <c r="L64" s="3">
        <v>10.869475917000001</v>
      </c>
    </row>
    <row r="65" spans="1:12" x14ac:dyDescent="0.2">
      <c r="A65" s="2">
        <v>4</v>
      </c>
      <c r="B65" s="2">
        <v>16</v>
      </c>
      <c r="C65" s="2">
        <v>16</v>
      </c>
      <c r="D65" s="2">
        <v>64</v>
      </c>
      <c r="E65" s="4">
        <v>1.2666999999999999E-5</v>
      </c>
      <c r="F65" s="4">
        <v>1.2478750000000001E-3</v>
      </c>
      <c r="G65" s="2">
        <v>6</v>
      </c>
      <c r="H65" s="1">
        <v>8.6539201325775905E-9</v>
      </c>
      <c r="I65" s="1">
        <v>3.1721322642362E-6</v>
      </c>
      <c r="J65" s="3">
        <v>2.4502920000000002E-3</v>
      </c>
      <c r="K65" s="3">
        <v>5.8124580000000004E-3</v>
      </c>
      <c r="L65" s="3">
        <v>10.869475917000001</v>
      </c>
    </row>
    <row r="66" spans="1:12" x14ac:dyDescent="0.2">
      <c r="A66" s="2">
        <v>4</v>
      </c>
      <c r="B66" s="2">
        <v>16</v>
      </c>
      <c r="C66" s="2">
        <v>16</v>
      </c>
      <c r="D66" s="2">
        <v>65</v>
      </c>
      <c r="E66" s="4">
        <v>1.4042E-5</v>
      </c>
      <c r="F66" s="4">
        <v>9.0466699999999995E-4</v>
      </c>
      <c r="G66" s="2">
        <v>6</v>
      </c>
      <c r="H66" s="1">
        <v>8.4964287916339993E-9</v>
      </c>
      <c r="I66" s="1">
        <v>3.20857860991546E-6</v>
      </c>
      <c r="J66" s="3">
        <v>2.4502920000000002E-3</v>
      </c>
      <c r="K66" s="3">
        <v>5.8124580000000004E-3</v>
      </c>
      <c r="L66" s="3">
        <v>10.869475917000001</v>
      </c>
    </row>
    <row r="67" spans="1:12" x14ac:dyDescent="0.2">
      <c r="A67" s="2">
        <v>4</v>
      </c>
      <c r="B67" s="2">
        <v>16</v>
      </c>
      <c r="C67" s="2">
        <v>16</v>
      </c>
      <c r="D67" s="2">
        <v>66</v>
      </c>
      <c r="E67" s="4">
        <v>1.2999999999999999E-5</v>
      </c>
      <c r="F67" s="4">
        <v>8.7254200000000002E-4</v>
      </c>
      <c r="G67" s="2">
        <v>6</v>
      </c>
      <c r="H67" s="1">
        <v>8.3440844592654599E-9</v>
      </c>
      <c r="I67" s="1">
        <v>3.2449826135784301E-6</v>
      </c>
      <c r="J67" s="3">
        <v>2.4502920000000002E-3</v>
      </c>
      <c r="K67" s="3">
        <v>5.8124580000000004E-3</v>
      </c>
      <c r="L67" s="3">
        <v>10.869475917000001</v>
      </c>
    </row>
    <row r="68" spans="1:12" x14ac:dyDescent="0.2">
      <c r="A68" s="2">
        <v>4</v>
      </c>
      <c r="B68" s="2">
        <v>16</v>
      </c>
      <c r="C68" s="2">
        <v>16</v>
      </c>
      <c r="D68" s="2">
        <v>67</v>
      </c>
      <c r="E68" s="4">
        <v>1.3875E-5</v>
      </c>
      <c r="F68" s="4">
        <v>1.2126249999999999E-3</v>
      </c>
      <c r="G68" s="2">
        <v>6</v>
      </c>
      <c r="H68" s="1">
        <v>8.1965838762178893E-9</v>
      </c>
      <c r="I68" s="1">
        <v>3.2813605397332999E-6</v>
      </c>
      <c r="J68" s="3">
        <v>2.4502920000000002E-3</v>
      </c>
      <c r="K68" s="3">
        <v>5.8124580000000004E-3</v>
      </c>
      <c r="L68" s="3">
        <v>10.869475917000001</v>
      </c>
    </row>
    <row r="69" spans="1:12" x14ac:dyDescent="0.2">
      <c r="A69" s="2">
        <v>4</v>
      </c>
      <c r="B69" s="2">
        <v>16</v>
      </c>
      <c r="C69" s="2">
        <v>16</v>
      </c>
      <c r="D69" s="2">
        <v>68</v>
      </c>
      <c r="E69" s="4">
        <v>1.3625000000000001E-5</v>
      </c>
      <c r="F69" s="4">
        <v>9.4583299999999998E-4</v>
      </c>
      <c r="G69" s="2">
        <v>6</v>
      </c>
      <c r="H69" s="1">
        <v>8.0536645864799805E-9</v>
      </c>
      <c r="I69" s="1">
        <v>3.3177350387367E-6</v>
      </c>
      <c r="J69" s="3">
        <v>2.4502920000000002E-3</v>
      </c>
      <c r="K69" s="3">
        <v>5.8124580000000004E-3</v>
      </c>
      <c r="L69" s="3">
        <v>10.869475917000001</v>
      </c>
    </row>
    <row r="70" spans="1:12" x14ac:dyDescent="0.2">
      <c r="A70" s="2">
        <v>4</v>
      </c>
      <c r="B70" s="2">
        <v>16</v>
      </c>
      <c r="C70" s="2">
        <v>16</v>
      </c>
      <c r="D70" s="2">
        <v>69</v>
      </c>
      <c r="E70" s="4">
        <v>1.925E-5</v>
      </c>
      <c r="F70" s="4">
        <v>8.3229199999999999E-4</v>
      </c>
      <c r="G70" s="2">
        <v>6</v>
      </c>
      <c r="H70" s="1">
        <v>7.9150956680319897E-9</v>
      </c>
      <c r="I70" s="1">
        <v>3.35413303215443E-6</v>
      </c>
      <c r="J70" s="3">
        <v>2.4502920000000002E-3</v>
      </c>
      <c r="K70" s="3">
        <v>5.8124580000000004E-3</v>
      </c>
      <c r="L70" s="3">
        <v>10.869475917000001</v>
      </c>
    </row>
    <row r="71" spans="1:12" x14ac:dyDescent="0.2">
      <c r="A71" s="2">
        <v>4</v>
      </c>
      <c r="B71" s="2">
        <v>16</v>
      </c>
      <c r="C71" s="2">
        <v>16</v>
      </c>
      <c r="D71" s="2">
        <v>70</v>
      </c>
      <c r="E71" s="4">
        <v>1.3542E-5</v>
      </c>
      <c r="F71" s="4">
        <v>9.1470899999999999E-4</v>
      </c>
      <c r="G71" s="2">
        <v>5</v>
      </c>
      <c r="H71" s="1">
        <v>8.09703044984677E-9</v>
      </c>
      <c r="I71" s="1">
        <v>3.52844417163492E-6</v>
      </c>
      <c r="J71" s="3">
        <v>2.4502920000000002E-3</v>
      </c>
      <c r="K71" s="3">
        <v>5.8124580000000004E-3</v>
      </c>
      <c r="L71" s="3">
        <v>10.869475917000001</v>
      </c>
    </row>
    <row r="72" spans="1:12" x14ac:dyDescent="0.2">
      <c r="A72" s="2">
        <v>4</v>
      </c>
      <c r="B72" s="2">
        <v>16</v>
      </c>
      <c r="C72" s="2">
        <v>16</v>
      </c>
      <c r="D72" s="2">
        <v>71</v>
      </c>
      <c r="E72" s="4">
        <v>1.7458000000000001E-5</v>
      </c>
      <c r="F72" s="4">
        <v>8.6995799999999999E-4</v>
      </c>
      <c r="G72" s="2">
        <v>5</v>
      </c>
      <c r="H72" s="1">
        <v>7.9267463469238806E-9</v>
      </c>
      <c r="I72" s="1">
        <v>3.55100429911235E-6</v>
      </c>
      <c r="J72" s="3">
        <v>2.4502920000000002E-3</v>
      </c>
      <c r="K72" s="3">
        <v>5.8124580000000004E-3</v>
      </c>
      <c r="L72" s="3">
        <v>10.869475917000001</v>
      </c>
    </row>
    <row r="73" spans="1:12" x14ac:dyDescent="0.2">
      <c r="A73" s="2">
        <v>4</v>
      </c>
      <c r="B73" s="2">
        <v>16</v>
      </c>
      <c r="C73" s="2">
        <v>16</v>
      </c>
      <c r="D73" s="2">
        <v>72</v>
      </c>
      <c r="E73" s="4">
        <v>1.275E-5</v>
      </c>
      <c r="F73" s="4">
        <v>7.8204100000000003E-4</v>
      </c>
      <c r="G73" s="2">
        <v>5</v>
      </c>
      <c r="H73" s="1">
        <v>7.77005453884039E-9</v>
      </c>
      <c r="I73" s="1">
        <v>3.57727158022151E-6</v>
      </c>
      <c r="J73" s="3">
        <v>2.4502920000000002E-3</v>
      </c>
      <c r="K73" s="3">
        <v>5.8124580000000004E-3</v>
      </c>
      <c r="L73" s="3">
        <v>10.869475917000001</v>
      </c>
    </row>
    <row r="74" spans="1:12" x14ac:dyDescent="0.2">
      <c r="A74" s="2">
        <v>4</v>
      </c>
      <c r="B74" s="2">
        <v>16</v>
      </c>
      <c r="C74" s="2">
        <v>16</v>
      </c>
      <c r="D74" s="2">
        <v>73</v>
      </c>
      <c r="E74" s="4">
        <v>1.6249999999999999E-5</v>
      </c>
      <c r="F74" s="4">
        <v>9.2979200000000003E-4</v>
      </c>
      <c r="G74" s="2">
        <v>5</v>
      </c>
      <c r="H74" s="1">
        <v>7.6244072924393195E-9</v>
      </c>
      <c r="I74" s="1">
        <v>3.6064949924138499E-6</v>
      </c>
      <c r="J74" s="3">
        <v>2.4502920000000002E-3</v>
      </c>
      <c r="K74" s="3">
        <v>5.8124580000000004E-3</v>
      </c>
      <c r="L74" s="3">
        <v>10.869475917000001</v>
      </c>
    </row>
    <row r="75" spans="1:12" x14ac:dyDescent="0.2">
      <c r="A75" s="2">
        <v>4</v>
      </c>
      <c r="B75" s="2">
        <v>16</v>
      </c>
      <c r="C75" s="2">
        <v>16</v>
      </c>
      <c r="D75" s="2">
        <v>74</v>
      </c>
      <c r="E75" s="4">
        <v>1.3542E-5</v>
      </c>
      <c r="F75" s="4">
        <v>9.2537499999999998E-4</v>
      </c>
      <c r="G75" s="2">
        <v>5</v>
      </c>
      <c r="H75" s="1">
        <v>7.4881655552102399E-9</v>
      </c>
      <c r="I75" s="1">
        <v>3.6382483098160802E-6</v>
      </c>
      <c r="J75" s="3">
        <v>2.4502920000000002E-3</v>
      </c>
      <c r="K75" s="3">
        <v>5.8124580000000004E-3</v>
      </c>
      <c r="L75" s="3">
        <v>10.869475917000001</v>
      </c>
    </row>
    <row r="76" spans="1:12" x14ac:dyDescent="0.2">
      <c r="A76" s="2">
        <v>4</v>
      </c>
      <c r="B76" s="2">
        <v>16</v>
      </c>
      <c r="C76" s="2">
        <v>16</v>
      </c>
      <c r="D76" s="2">
        <v>75</v>
      </c>
      <c r="E76" s="4">
        <v>1.5166E-5</v>
      </c>
      <c r="F76" s="4">
        <v>8.8024999999999996E-4</v>
      </c>
      <c r="G76" s="2">
        <v>5</v>
      </c>
      <c r="H76" s="1">
        <v>7.3601818407268904E-9</v>
      </c>
      <c r="I76" s="1">
        <v>3.6722763292399102E-6</v>
      </c>
      <c r="J76" s="3">
        <v>2.4502920000000002E-3</v>
      </c>
      <c r="K76" s="3">
        <v>5.8124580000000004E-3</v>
      </c>
      <c r="L76" s="3">
        <v>10.869475917000001</v>
      </c>
    </row>
    <row r="77" spans="1:12" x14ac:dyDescent="0.2">
      <c r="A77" s="2">
        <v>4</v>
      </c>
      <c r="B77" s="2">
        <v>16</v>
      </c>
      <c r="C77" s="2">
        <v>16</v>
      </c>
      <c r="D77" s="2">
        <v>76</v>
      </c>
      <c r="E77" s="4">
        <v>1.275E-5</v>
      </c>
      <c r="F77" s="4">
        <v>1.033459E-3</v>
      </c>
      <c r="G77" s="2">
        <v>5</v>
      </c>
      <c r="H77" s="1">
        <v>7.2395848901113203E-9</v>
      </c>
      <c r="I77" s="1">
        <v>3.70841403143398E-6</v>
      </c>
      <c r="J77" s="3">
        <v>2.4502920000000002E-3</v>
      </c>
      <c r="K77" s="3">
        <v>5.8124580000000004E-3</v>
      </c>
      <c r="L77" s="3">
        <v>10.869475917000001</v>
      </c>
    </row>
    <row r="78" spans="1:12" x14ac:dyDescent="0.2">
      <c r="A78" s="2">
        <v>4</v>
      </c>
      <c r="B78" s="2">
        <v>16</v>
      </c>
      <c r="C78" s="2">
        <v>16</v>
      </c>
      <c r="D78" s="2">
        <v>77</v>
      </c>
      <c r="E78" s="4">
        <v>1.3959E-5</v>
      </c>
      <c r="F78" s="4">
        <v>8.8258300000000004E-4</v>
      </c>
      <c r="G78" s="2">
        <v>5</v>
      </c>
      <c r="H78" s="1">
        <v>7.1256645398794801E-9</v>
      </c>
      <c r="I78" s="1">
        <v>3.74654250695583E-6</v>
      </c>
      <c r="J78" s="3">
        <v>2.4502920000000002E-3</v>
      </c>
      <c r="K78" s="3">
        <v>5.8124580000000004E-3</v>
      </c>
      <c r="L78" s="3">
        <v>10.869475917000001</v>
      </c>
    </row>
    <row r="79" spans="1:12" x14ac:dyDescent="0.2">
      <c r="A79" s="2">
        <v>4</v>
      </c>
      <c r="B79" s="2">
        <v>16</v>
      </c>
      <c r="C79" s="2">
        <v>16</v>
      </c>
      <c r="D79" s="2">
        <v>78</v>
      </c>
      <c r="E79" s="4">
        <v>1.4250000000000001E-5</v>
      </c>
      <c r="F79" s="4">
        <v>9.1308299999999997E-4</v>
      </c>
      <c r="G79" s="2">
        <v>5</v>
      </c>
      <c r="H79" s="1">
        <v>7.0178082046071698E-9</v>
      </c>
      <c r="I79" s="1">
        <v>3.78656409632161E-6</v>
      </c>
      <c r="J79" s="3">
        <v>2.4502920000000002E-3</v>
      </c>
      <c r="K79" s="3">
        <v>5.8124580000000004E-3</v>
      </c>
      <c r="L79" s="3">
        <v>10.869475917000001</v>
      </c>
    </row>
    <row r="80" spans="1:12" x14ac:dyDescent="0.2">
      <c r="A80" s="2">
        <v>4</v>
      </c>
      <c r="B80" s="2">
        <v>16</v>
      </c>
      <c r="C80" s="2">
        <v>16</v>
      </c>
      <c r="D80" s="2">
        <v>79</v>
      </c>
      <c r="E80" s="4">
        <v>1.3042E-5</v>
      </c>
      <c r="F80" s="4">
        <v>8.8937499999999997E-4</v>
      </c>
      <c r="G80" s="2">
        <v>5</v>
      </c>
      <c r="H80" s="1">
        <v>6.9154650310737399E-9</v>
      </c>
      <c r="I80" s="1">
        <v>3.8283880118937098E-6</v>
      </c>
      <c r="J80" s="3">
        <v>2.4502920000000002E-3</v>
      </c>
      <c r="K80" s="3">
        <v>5.8124580000000004E-3</v>
      </c>
      <c r="L80" s="3">
        <v>10.869475917000001</v>
      </c>
    </row>
    <row r="81" spans="1:12" x14ac:dyDescent="0.2">
      <c r="A81" s="2">
        <v>4</v>
      </c>
      <c r="B81" s="2">
        <v>16</v>
      </c>
      <c r="C81" s="2">
        <v>16</v>
      </c>
      <c r="D81" s="2">
        <v>80</v>
      </c>
      <c r="E81" s="4">
        <v>1.4459E-5</v>
      </c>
      <c r="F81" s="4">
        <v>9.5795899999999998E-4</v>
      </c>
      <c r="G81" s="2">
        <v>5</v>
      </c>
      <c r="H81" s="1">
        <v>6.8181255113329796E-9</v>
      </c>
      <c r="I81" s="1">
        <v>3.87192196459857E-6</v>
      </c>
      <c r="J81" s="3">
        <v>2.4502920000000002E-3</v>
      </c>
      <c r="K81" s="3">
        <v>5.8124580000000004E-3</v>
      </c>
      <c r="L81" s="3">
        <v>10.869475917000001</v>
      </c>
    </row>
    <row r="82" spans="1:12" x14ac:dyDescent="0.2">
      <c r="A82" s="2">
        <v>4</v>
      </c>
      <c r="B82" s="2">
        <v>16</v>
      </c>
      <c r="C82" s="2">
        <v>16</v>
      </c>
      <c r="D82" s="2">
        <v>81</v>
      </c>
      <c r="E82" s="4">
        <v>1.3083E-5</v>
      </c>
      <c r="F82" s="4">
        <v>1.282334E-3</v>
      </c>
      <c r="G82" s="2">
        <v>5</v>
      </c>
      <c r="H82" s="1">
        <v>6.7253101270787403E-9</v>
      </c>
      <c r="I82" s="1">
        <v>3.9170674479528997E-6</v>
      </c>
      <c r="J82" s="3">
        <v>2.4502920000000002E-3</v>
      </c>
      <c r="K82" s="3">
        <v>5.8124580000000004E-3</v>
      </c>
      <c r="L82" s="3">
        <v>10.869475917000001</v>
      </c>
    </row>
    <row r="83" spans="1:12" x14ac:dyDescent="0.2">
      <c r="A83" s="2">
        <v>4</v>
      </c>
      <c r="B83" s="2">
        <v>16</v>
      </c>
      <c r="C83" s="2">
        <v>16</v>
      </c>
      <c r="D83" s="2">
        <v>82</v>
      </c>
      <c r="E83" s="4">
        <v>1.8749999999999998E-5</v>
      </c>
      <c r="F83" s="4">
        <v>8.4654200000000004E-4</v>
      </c>
      <c r="G83" s="2">
        <v>5</v>
      </c>
      <c r="H83" s="1">
        <v>6.6365634295042304E-9</v>
      </c>
      <c r="I83" s="1">
        <v>3.9637173653394697E-6</v>
      </c>
      <c r="J83" s="3">
        <v>2.4502920000000002E-3</v>
      </c>
      <c r="K83" s="3">
        <v>5.8124580000000004E-3</v>
      </c>
      <c r="L83" s="3">
        <v>10.869475917000001</v>
      </c>
    </row>
    <row r="84" spans="1:12" x14ac:dyDescent="0.2">
      <c r="A84" s="2">
        <v>4</v>
      </c>
      <c r="B84" s="2">
        <v>16</v>
      </c>
      <c r="C84" s="2">
        <v>16</v>
      </c>
      <c r="D84" s="2">
        <v>83</v>
      </c>
      <c r="E84" s="4">
        <v>1.3083E-5</v>
      </c>
      <c r="F84" s="4">
        <v>8.2795799999999995E-4</v>
      </c>
      <c r="G84" s="2">
        <v>5</v>
      </c>
      <c r="H84" s="1">
        <v>6.5514514921469998E-9</v>
      </c>
      <c r="I84" s="1">
        <v>4.0117552538922303E-6</v>
      </c>
      <c r="J84" s="3">
        <v>2.4502920000000002E-3</v>
      </c>
      <c r="K84" s="3">
        <v>5.8124580000000004E-3</v>
      </c>
      <c r="L84" s="3">
        <v>10.869475917000001</v>
      </c>
    </row>
    <row r="85" spans="1:12" x14ac:dyDescent="0.2">
      <c r="A85" s="2">
        <v>4</v>
      </c>
      <c r="B85" s="2">
        <v>16</v>
      </c>
      <c r="C85" s="2">
        <v>16</v>
      </c>
      <c r="D85" s="2">
        <v>84</v>
      </c>
      <c r="E85" s="4">
        <v>1.2917E-5</v>
      </c>
      <c r="F85" s="4">
        <v>1.0254579999999999E-3</v>
      </c>
      <c r="G85" s="2">
        <v>5</v>
      </c>
      <c r="H85" s="1">
        <v>6.4695614516589498E-9</v>
      </c>
      <c r="I85" s="1">
        <v>4.0610556317601499E-6</v>
      </c>
      <c r="J85" s="3">
        <v>2.4502920000000002E-3</v>
      </c>
      <c r="K85" s="3">
        <v>5.8124580000000004E-3</v>
      </c>
      <c r="L85" s="3">
        <v>10.869475917000001</v>
      </c>
    </row>
    <row r="86" spans="1:12" x14ac:dyDescent="0.2">
      <c r="A86" s="2">
        <v>4</v>
      </c>
      <c r="B86" s="2">
        <v>16</v>
      </c>
      <c r="C86" s="2">
        <v>16</v>
      </c>
      <c r="D86" s="2">
        <v>85</v>
      </c>
      <c r="E86" s="4">
        <v>1.4042E-5</v>
      </c>
      <c r="F86" s="4">
        <v>9.3674999999999997E-4</v>
      </c>
      <c r="G86" s="2">
        <v>5</v>
      </c>
      <c r="H86" s="1">
        <v>6.3905023346385903E-9</v>
      </c>
      <c r="I86" s="1">
        <v>4.1114851706667197E-6</v>
      </c>
      <c r="J86" s="3">
        <v>2.4502920000000002E-3</v>
      </c>
      <c r="K86" s="3">
        <v>5.8124580000000004E-3</v>
      </c>
      <c r="L86" s="3">
        <v>10.869475917000001</v>
      </c>
    </row>
    <row r="87" spans="1:12" x14ac:dyDescent="0.2">
      <c r="A87" s="2">
        <v>4</v>
      </c>
      <c r="B87" s="2">
        <v>16</v>
      </c>
      <c r="C87" s="2">
        <v>16</v>
      </c>
      <c r="D87" s="2">
        <v>86</v>
      </c>
      <c r="E87" s="4">
        <v>1.7E-5</v>
      </c>
      <c r="F87" s="4">
        <v>9.9879200000000008E-4</v>
      </c>
      <c r="G87" s="2">
        <v>5</v>
      </c>
      <c r="H87" s="1">
        <v>6.3139065862298899E-9</v>
      </c>
      <c r="I87" s="1">
        <v>4.1629044532179801E-6</v>
      </c>
      <c r="J87" s="3">
        <v>2.4502920000000002E-3</v>
      </c>
      <c r="K87" s="3">
        <v>5.8124580000000004E-3</v>
      </c>
      <c r="L87" s="3">
        <v>10.869475917000001</v>
      </c>
    </row>
    <row r="88" spans="1:12" x14ac:dyDescent="0.2">
      <c r="A88" s="2">
        <v>4</v>
      </c>
      <c r="B88" s="2">
        <v>16</v>
      </c>
      <c r="C88" s="2">
        <v>16</v>
      </c>
      <c r="D88" s="2">
        <v>87</v>
      </c>
      <c r="E88" s="4">
        <v>1.3541E-5</v>
      </c>
      <c r="F88" s="4">
        <v>8.6512500000000001E-4</v>
      </c>
      <c r="G88" s="2">
        <v>5</v>
      </c>
      <c r="H88" s="1">
        <v>6.2394319018481697E-9</v>
      </c>
      <c r="I88" s="1">
        <v>4.2151701346207601E-6</v>
      </c>
      <c r="J88" s="3">
        <v>2.4502920000000002E-3</v>
      </c>
      <c r="K88" s="3">
        <v>5.8124580000000004E-3</v>
      </c>
      <c r="L88" s="3">
        <v>10.869475917000001</v>
      </c>
    </row>
    <row r="89" spans="1:12" x14ac:dyDescent="0.2">
      <c r="A89" s="2">
        <v>4</v>
      </c>
      <c r="B89" s="2">
        <v>16</v>
      </c>
      <c r="C89" s="2">
        <v>16</v>
      </c>
      <c r="D89" s="2">
        <v>88</v>
      </c>
      <c r="E89" s="4">
        <v>1.3667E-5</v>
      </c>
      <c r="F89" s="4">
        <v>6.4619999999999999E-3</v>
      </c>
      <c r="G89" s="2">
        <v>5</v>
      </c>
      <c r="H89" s="1">
        <v>6.1667630620705004E-9</v>
      </c>
      <c r="I89" s="1">
        <v>4.2681373503562002E-6</v>
      </c>
      <c r="J89" s="3">
        <v>2.4502920000000002E-3</v>
      </c>
      <c r="K89" s="3">
        <v>5.8124580000000004E-3</v>
      </c>
      <c r="L89" s="3">
        <v>10.869475917000001</v>
      </c>
    </row>
    <row r="90" spans="1:12" x14ac:dyDescent="0.2">
      <c r="A90" s="2">
        <v>4</v>
      </c>
      <c r="B90" s="2">
        <v>16</v>
      </c>
      <c r="C90" s="2">
        <v>16</v>
      </c>
      <c r="D90" s="2">
        <v>89</v>
      </c>
      <c r="E90" s="4">
        <v>1.4209000000000001E-5</v>
      </c>
      <c r="F90" s="4">
        <v>1.0327909999999999E-3</v>
      </c>
      <c r="G90" s="2">
        <v>5</v>
      </c>
      <c r="H90" s="1">
        <v>6.0956135591634403E-9</v>
      </c>
      <c r="I90" s="1">
        <v>4.3216622368194098E-6</v>
      </c>
      <c r="J90" s="3">
        <v>2.4502920000000002E-3</v>
      </c>
      <c r="K90" s="3">
        <v>5.8124580000000004E-3</v>
      </c>
      <c r="L90" s="3">
        <v>10.869475917000001</v>
      </c>
    </row>
    <row r="91" spans="1:12" x14ac:dyDescent="0.2">
      <c r="A91" s="2">
        <v>4</v>
      </c>
      <c r="B91" s="2">
        <v>16</v>
      </c>
      <c r="C91" s="2">
        <v>16</v>
      </c>
      <c r="D91" s="2">
        <v>90</v>
      </c>
      <c r="E91" s="4">
        <v>1.5375000000000001E-5</v>
      </c>
      <c r="F91" s="4">
        <v>8.5300000000000003E-4</v>
      </c>
      <c r="G91" s="2">
        <v>5</v>
      </c>
      <c r="H91" s="1">
        <v>6.0257268437197498E-9</v>
      </c>
      <c r="I91" s="1">
        <v>4.3756044326120898E-6</v>
      </c>
      <c r="J91" s="3">
        <v>2.4502920000000002E-3</v>
      </c>
      <c r="K91" s="3">
        <v>5.8124580000000004E-3</v>
      </c>
      <c r="L91" s="3">
        <v>10.869475917000001</v>
      </c>
    </row>
    <row r="92" spans="1:12" x14ac:dyDescent="0.2">
      <c r="A92" s="2">
        <v>4</v>
      </c>
      <c r="B92" s="2">
        <v>16</v>
      </c>
      <c r="C92" s="2">
        <v>16</v>
      </c>
      <c r="D92" s="2">
        <v>91</v>
      </c>
      <c r="E92" s="4">
        <v>1.5458E-5</v>
      </c>
      <c r="F92" s="4">
        <v>9.5525000000000004E-4</v>
      </c>
      <c r="G92" s="2">
        <v>5</v>
      </c>
      <c r="H92" s="1">
        <v>5.95687710647601E-9</v>
      </c>
      <c r="I92" s="1">
        <v>4.4298294673282699E-6</v>
      </c>
      <c r="J92" s="3">
        <v>2.4502920000000002E-3</v>
      </c>
      <c r="K92" s="3">
        <v>5.8124580000000004E-3</v>
      </c>
      <c r="L92" s="3">
        <v>10.869475917000001</v>
      </c>
    </row>
    <row r="93" spans="1:12" x14ac:dyDescent="0.2">
      <c r="A93" s="2">
        <v>4</v>
      </c>
      <c r="B93" s="2">
        <v>16</v>
      </c>
      <c r="C93" s="2">
        <v>16</v>
      </c>
      <c r="D93" s="2">
        <v>92</v>
      </c>
      <c r="E93" s="4">
        <v>2.5125000000000001E-5</v>
      </c>
      <c r="F93" s="4">
        <v>1.1078329999999999E-3</v>
      </c>
      <c r="G93" s="2">
        <v>5</v>
      </c>
      <c r="H93" s="1">
        <v>5.8888695144712597E-9</v>
      </c>
      <c r="I93" s="1">
        <v>4.4842109327397897E-6</v>
      </c>
      <c r="J93" s="3">
        <v>2.4502920000000002E-3</v>
      </c>
      <c r="K93" s="3">
        <v>5.8124580000000004E-3</v>
      </c>
      <c r="L93" s="3">
        <v>10.869475917000001</v>
      </c>
    </row>
    <row r="94" spans="1:12" x14ac:dyDescent="0.2">
      <c r="A94" s="2">
        <v>4</v>
      </c>
      <c r="B94" s="2">
        <v>16</v>
      </c>
      <c r="C94" s="2">
        <v>16</v>
      </c>
      <c r="D94" s="2">
        <v>93</v>
      </c>
      <c r="E94" s="4">
        <v>1.3375E-5</v>
      </c>
      <c r="F94" s="4">
        <v>8.9400000000000005E-4</v>
      </c>
      <c r="G94" s="2">
        <v>5</v>
      </c>
      <c r="H94" s="1">
        <v>5.8215398940957698E-9</v>
      </c>
      <c r="I94" s="1">
        <v>4.5386323728262401E-6</v>
      </c>
      <c r="J94" s="3">
        <v>2.4502920000000002E-3</v>
      </c>
      <c r="K94" s="3">
        <v>5.8124580000000004E-3</v>
      </c>
      <c r="L94" s="3">
        <v>10.869475917000001</v>
      </c>
    </row>
    <row r="95" spans="1:12" x14ac:dyDescent="0.2">
      <c r="A95" s="2">
        <v>4</v>
      </c>
      <c r="B95" s="2">
        <v>16</v>
      </c>
      <c r="C95" s="2">
        <v>16</v>
      </c>
      <c r="D95" s="2">
        <v>94</v>
      </c>
      <c r="E95" s="4">
        <v>1.3083E-5</v>
      </c>
      <c r="F95" s="4">
        <v>9.00959E-4</v>
      </c>
      <c r="G95" s="2">
        <v>5</v>
      </c>
      <c r="H95" s="1">
        <v>5.7547538767003299E-9</v>
      </c>
      <c r="I95" s="1">
        <v>4.5929888414999701E-6</v>
      </c>
      <c r="J95" s="3">
        <v>2.4502920000000002E-3</v>
      </c>
      <c r="K95" s="3">
        <v>5.8124580000000004E-3</v>
      </c>
      <c r="L95" s="3">
        <v>10.869475917000001</v>
      </c>
    </row>
    <row r="96" spans="1:12" x14ac:dyDescent="0.2">
      <c r="A96" s="2">
        <v>4</v>
      </c>
      <c r="B96" s="2">
        <v>16</v>
      </c>
      <c r="C96" s="2">
        <v>16</v>
      </c>
      <c r="D96" s="2">
        <v>95</v>
      </c>
      <c r="E96" s="4">
        <v>1.375E-5</v>
      </c>
      <c r="F96" s="4">
        <v>8.3962499999999999E-4</v>
      </c>
      <c r="G96" s="2">
        <v>5</v>
      </c>
      <c r="H96" s="1">
        <v>5.68840554733062E-9</v>
      </c>
      <c r="I96" s="1">
        <v>4.64718809428279E-6</v>
      </c>
      <c r="J96" s="3">
        <v>2.4502920000000002E-3</v>
      </c>
      <c r="K96" s="3">
        <v>5.8124580000000004E-3</v>
      </c>
      <c r="L96" s="3">
        <v>10.869475917000001</v>
      </c>
    </row>
    <row r="97" spans="1:12" x14ac:dyDescent="0.2">
      <c r="A97" s="2">
        <v>4</v>
      </c>
      <c r="B97" s="2">
        <v>16</v>
      </c>
      <c r="C97" s="2">
        <v>16</v>
      </c>
      <c r="D97" s="2">
        <v>96</v>
      </c>
      <c r="E97" s="4">
        <v>1.3833E-5</v>
      </c>
      <c r="F97" s="4">
        <v>9.2412500000000003E-4</v>
      </c>
      <c r="G97" s="2">
        <v>5</v>
      </c>
      <c r="H97" s="1">
        <v>5.62241566355248E-9</v>
      </c>
      <c r="I97" s="1">
        <v>4.7011514030808298E-6</v>
      </c>
      <c r="J97" s="3">
        <v>2.4502920000000002E-3</v>
      </c>
      <c r="K97" s="3">
        <v>5.8124580000000004E-3</v>
      </c>
      <c r="L97" s="3">
        <v>10.869475917000001</v>
      </c>
    </row>
    <row r="98" spans="1:12" x14ac:dyDescent="0.2">
      <c r="A98" s="2">
        <v>4</v>
      </c>
      <c r="B98" s="2">
        <v>16</v>
      </c>
      <c r="C98" s="2">
        <v>16</v>
      </c>
      <c r="D98" s="2">
        <v>97</v>
      </c>
      <c r="E98" s="4">
        <v>1.6291E-5</v>
      </c>
      <c r="F98" s="4">
        <v>1.1867500000000001E-3</v>
      </c>
      <c r="G98" s="2">
        <v>5</v>
      </c>
      <c r="H98" s="1">
        <v>5.55672951477091E-9</v>
      </c>
      <c r="I98" s="1">
        <v>4.75481399134726E-6</v>
      </c>
      <c r="J98" s="3">
        <v>2.4502920000000002E-3</v>
      </c>
      <c r="K98" s="3">
        <v>5.8124580000000004E-3</v>
      </c>
      <c r="L98" s="3">
        <v>10.869475917000001</v>
      </c>
    </row>
    <row r="99" spans="1:12" x14ac:dyDescent="0.2">
      <c r="A99" s="2">
        <v>4</v>
      </c>
      <c r="B99" s="2">
        <v>16</v>
      </c>
      <c r="C99" s="2">
        <v>16</v>
      </c>
      <c r="D99" s="2">
        <v>98</v>
      </c>
      <c r="E99" s="4">
        <v>1.3334E-5</v>
      </c>
      <c r="F99" s="4">
        <v>9.4279200000000002E-4</v>
      </c>
      <c r="G99" s="2">
        <v>5</v>
      </c>
      <c r="H99" s="1">
        <v>5.4913145237483102E-9</v>
      </c>
      <c r="I99" s="1">
        <v>4.8081251207160302E-6</v>
      </c>
      <c r="J99" s="3">
        <v>2.4502920000000002E-3</v>
      </c>
      <c r="K99" s="3">
        <v>5.8124580000000004E-3</v>
      </c>
      <c r="L99" s="3">
        <v>10.869475917000001</v>
      </c>
    </row>
    <row r="100" spans="1:12" x14ac:dyDescent="0.2">
      <c r="A100" s="2">
        <v>4</v>
      </c>
      <c r="B100" s="2">
        <v>16</v>
      </c>
      <c r="C100" s="2">
        <v>16</v>
      </c>
      <c r="D100" s="2">
        <v>99</v>
      </c>
      <c r="E100" s="4">
        <v>1.4E-5</v>
      </c>
      <c r="F100" s="4">
        <v>9.0979099999999996E-4</v>
      </c>
      <c r="G100" s="2">
        <v>5</v>
      </c>
      <c r="H100" s="1">
        <v>5.4261576680665104E-9</v>
      </c>
      <c r="I100" s="1">
        <v>4.8610478509169499E-6</v>
      </c>
      <c r="J100" s="3">
        <v>2.4502920000000002E-3</v>
      </c>
      <c r="K100" s="3">
        <v>5.8124580000000004E-3</v>
      </c>
      <c r="L100" s="3">
        <v>10.869475917000001</v>
      </c>
    </row>
    <row r="101" spans="1:12" x14ac:dyDescent="0.2">
      <c r="A101" s="2">
        <v>4</v>
      </c>
      <c r="B101" s="2">
        <v>16</v>
      </c>
      <c r="C101" s="2">
        <v>16</v>
      </c>
      <c r="D101" s="2">
        <v>100</v>
      </c>
      <c r="E101" s="4">
        <v>1.3334E-5</v>
      </c>
      <c r="F101" s="4">
        <v>1.0232080000000001E-3</v>
      </c>
      <c r="G101" s="2">
        <v>5</v>
      </c>
      <c r="H101" s="1">
        <v>5.3612628094870199E-9</v>
      </c>
      <c r="I101" s="1">
        <v>4.9135585135769603E-6</v>
      </c>
      <c r="J101" s="3">
        <v>2.4502920000000002E-3</v>
      </c>
      <c r="K101" s="3">
        <v>5.8124580000000004E-3</v>
      </c>
      <c r="L101" s="3">
        <v>10.869475917000001</v>
      </c>
    </row>
    <row r="102" spans="1:12" x14ac:dyDescent="0.2">
      <c r="A102" s="2">
        <v>5</v>
      </c>
      <c r="B102" s="2">
        <v>32</v>
      </c>
      <c r="C102" s="2">
        <v>32</v>
      </c>
      <c r="D102" s="2">
        <v>1</v>
      </c>
      <c r="E102" s="4">
        <v>1.5083300000000001E-4</v>
      </c>
      <c r="F102" s="4">
        <v>1.097041E-3</v>
      </c>
      <c r="G102" s="2">
        <v>6</v>
      </c>
      <c r="H102" s="1">
        <v>2.2068908695813501E-14</v>
      </c>
      <c r="I102" s="1">
        <v>5.3932995793585302E-15</v>
      </c>
      <c r="J102" s="3">
        <v>4.8724297920000001</v>
      </c>
      <c r="K102" s="3">
        <v>7.1964589999999997E-3</v>
      </c>
      <c r="L102" s="3">
        <v>9.0990829160000004</v>
      </c>
    </row>
    <row r="103" spans="1:12" x14ac:dyDescent="0.2">
      <c r="A103" s="2">
        <v>5</v>
      </c>
      <c r="B103" s="2">
        <v>32</v>
      </c>
      <c r="C103" s="2">
        <v>32</v>
      </c>
      <c r="D103" s="2">
        <v>2</v>
      </c>
      <c r="E103" s="4">
        <v>5.1816700000000004E-4</v>
      </c>
      <c r="F103" s="4">
        <v>1.424542E-3</v>
      </c>
      <c r="G103" s="2">
        <v>8</v>
      </c>
      <c r="H103" s="1">
        <v>1.5438323655778099E-14</v>
      </c>
      <c r="I103" s="1">
        <v>1.05615081498311E-14</v>
      </c>
      <c r="J103" s="3">
        <v>4.8724297920000001</v>
      </c>
      <c r="K103" s="3">
        <v>7.1964589999999997E-3</v>
      </c>
      <c r="L103" s="3">
        <v>9.0990829160000004</v>
      </c>
    </row>
    <row r="104" spans="1:12" x14ac:dyDescent="0.2">
      <c r="A104" s="2">
        <v>5</v>
      </c>
      <c r="B104" s="2">
        <v>32</v>
      </c>
      <c r="C104" s="2">
        <v>32</v>
      </c>
      <c r="D104" s="2">
        <v>3</v>
      </c>
      <c r="E104" s="4">
        <v>2.6179099999999999E-4</v>
      </c>
      <c r="F104" s="4">
        <v>1.292208E-3</v>
      </c>
      <c r="G104" s="2">
        <v>8</v>
      </c>
      <c r="H104" s="1">
        <v>9.2060327362249398E-15</v>
      </c>
      <c r="I104" s="1">
        <v>1.2553973208799E-14</v>
      </c>
      <c r="J104" s="3">
        <v>4.8724297920000001</v>
      </c>
      <c r="K104" s="3">
        <v>7.1964589999999997E-3</v>
      </c>
      <c r="L104" s="3">
        <v>9.0990829160000004</v>
      </c>
    </row>
    <row r="105" spans="1:12" x14ac:dyDescent="0.2">
      <c r="A105" s="2">
        <v>5</v>
      </c>
      <c r="B105" s="2">
        <v>32</v>
      </c>
      <c r="C105" s="2">
        <v>32</v>
      </c>
      <c r="D105" s="2">
        <v>4</v>
      </c>
      <c r="E105" s="4">
        <v>4.0295800000000003E-4</v>
      </c>
      <c r="F105" s="4">
        <v>1.5327920000000001E-3</v>
      </c>
      <c r="G105" s="2">
        <v>8</v>
      </c>
      <c r="H105" s="1">
        <v>5.55782536485786E-7</v>
      </c>
      <c r="I105" s="1">
        <v>1.2504091756143101E-6</v>
      </c>
      <c r="J105" s="3">
        <v>4.8724297920000001</v>
      </c>
      <c r="K105" s="3">
        <v>7.1964589999999997E-3</v>
      </c>
      <c r="L105" s="3">
        <v>9.0990829160000004</v>
      </c>
    </row>
    <row r="106" spans="1:12" x14ac:dyDescent="0.2">
      <c r="A106" s="2">
        <v>5</v>
      </c>
      <c r="B106" s="2">
        <v>32</v>
      </c>
      <c r="C106" s="2">
        <v>32</v>
      </c>
      <c r="D106" s="2">
        <v>5</v>
      </c>
      <c r="E106" s="4">
        <v>7.9279199999999995E-4</v>
      </c>
      <c r="F106" s="4">
        <v>1.3102089999999999E-3</v>
      </c>
      <c r="G106" s="2">
        <v>9</v>
      </c>
      <c r="H106" s="1">
        <v>5.2044454417052196E-7</v>
      </c>
      <c r="I106" s="1">
        <v>1.7052760062595599E-6</v>
      </c>
      <c r="J106" s="3">
        <v>4.8724297920000001</v>
      </c>
      <c r="K106" s="3">
        <v>7.1964589999999997E-3</v>
      </c>
      <c r="L106" s="3">
        <v>9.0990829160000004</v>
      </c>
    </row>
    <row r="107" spans="1:12" x14ac:dyDescent="0.2">
      <c r="A107" s="2">
        <v>5</v>
      </c>
      <c r="B107" s="2">
        <v>32</v>
      </c>
      <c r="C107" s="2">
        <v>32</v>
      </c>
      <c r="D107" s="2">
        <v>6</v>
      </c>
      <c r="E107" s="4">
        <v>2.8091599999999998E-4</v>
      </c>
      <c r="F107" s="4">
        <v>1.851875E-3</v>
      </c>
      <c r="G107" s="2">
        <v>10</v>
      </c>
      <c r="H107" s="1">
        <v>4.1606679144516298E-7</v>
      </c>
      <c r="I107" s="1">
        <v>1.7955483719435001E-6</v>
      </c>
      <c r="J107" s="3">
        <v>4.8724297920000001</v>
      </c>
      <c r="K107" s="3">
        <v>7.1964589999999997E-3</v>
      </c>
      <c r="L107" s="3">
        <v>9.0990829160000004</v>
      </c>
    </row>
    <row r="108" spans="1:12" x14ac:dyDescent="0.2">
      <c r="A108" s="2">
        <v>5</v>
      </c>
      <c r="B108" s="2">
        <v>32</v>
      </c>
      <c r="C108" s="2">
        <v>32</v>
      </c>
      <c r="D108" s="2">
        <v>7</v>
      </c>
      <c r="E108" s="4">
        <v>2.3183399999999999E-4</v>
      </c>
      <c r="F108" s="4">
        <v>1.4254999999999999E-3</v>
      </c>
      <c r="G108" s="2">
        <v>10</v>
      </c>
      <c r="H108" s="1">
        <v>3.34793936479277E-7</v>
      </c>
      <c r="I108" s="1">
        <v>1.7718048549046801E-6</v>
      </c>
      <c r="J108" s="3">
        <v>4.8724297920000001</v>
      </c>
      <c r="K108" s="3">
        <v>7.1964589999999997E-3</v>
      </c>
      <c r="L108" s="3">
        <v>9.0990829160000004</v>
      </c>
    </row>
    <row r="109" spans="1:12" x14ac:dyDescent="0.2">
      <c r="A109" s="2">
        <v>5</v>
      </c>
      <c r="B109" s="2">
        <v>32</v>
      </c>
      <c r="C109" s="2">
        <v>32</v>
      </c>
      <c r="D109" s="2">
        <v>8</v>
      </c>
      <c r="E109" s="4">
        <v>3.3175000000000001E-4</v>
      </c>
      <c r="F109" s="4">
        <v>1.5865409999999999E-3</v>
      </c>
      <c r="G109" s="2">
        <v>10</v>
      </c>
      <c r="H109" s="1">
        <v>2.95089131659515E-7</v>
      </c>
      <c r="I109" s="1">
        <v>1.8345857452237099E-6</v>
      </c>
      <c r="J109" s="3">
        <v>4.8724297920000001</v>
      </c>
      <c r="K109" s="3">
        <v>7.1964589999999997E-3</v>
      </c>
      <c r="L109" s="3">
        <v>9.0990829160000004</v>
      </c>
    </row>
    <row r="110" spans="1:12" x14ac:dyDescent="0.2">
      <c r="A110" s="2">
        <v>5</v>
      </c>
      <c r="B110" s="2">
        <v>32</v>
      </c>
      <c r="C110" s="2">
        <v>32</v>
      </c>
      <c r="D110" s="2">
        <v>9</v>
      </c>
      <c r="E110" s="4">
        <v>3.6162500000000002E-4</v>
      </c>
      <c r="F110" s="4">
        <v>1.433791E-3</v>
      </c>
      <c r="G110" s="2">
        <v>10</v>
      </c>
      <c r="H110" s="1">
        <v>2.7173690735859799E-7</v>
      </c>
      <c r="I110" s="1">
        <v>1.9380734963685399E-6</v>
      </c>
      <c r="J110" s="3">
        <v>4.8724297920000001</v>
      </c>
      <c r="K110" s="3">
        <v>7.1964589999999997E-3</v>
      </c>
      <c r="L110" s="3">
        <v>9.0990829160000004</v>
      </c>
    </row>
    <row r="111" spans="1:12" x14ac:dyDescent="0.2">
      <c r="A111" s="2">
        <v>5</v>
      </c>
      <c r="B111" s="2">
        <v>32</v>
      </c>
      <c r="C111" s="2">
        <v>32</v>
      </c>
      <c r="D111" s="2">
        <v>10</v>
      </c>
      <c r="E111" s="4">
        <v>3.7375E-4</v>
      </c>
      <c r="F111" s="4">
        <v>1.555917E-3</v>
      </c>
      <c r="G111" s="2">
        <v>10</v>
      </c>
      <c r="H111" s="1">
        <v>2.5670061565922099E-7</v>
      </c>
      <c r="I111" s="1">
        <v>2.07292252765159E-6</v>
      </c>
      <c r="J111" s="3">
        <v>4.8724297920000001</v>
      </c>
      <c r="K111" s="3">
        <v>7.1964589999999997E-3</v>
      </c>
      <c r="L111" s="3">
        <v>9.0990829160000004</v>
      </c>
    </row>
    <row r="112" spans="1:12" x14ac:dyDescent="0.2">
      <c r="A112" s="2">
        <v>5</v>
      </c>
      <c r="B112" s="2">
        <v>32</v>
      </c>
      <c r="C112" s="2">
        <v>32</v>
      </c>
      <c r="D112" s="2">
        <v>11</v>
      </c>
      <c r="E112" s="4">
        <v>2.7020899999999999E-4</v>
      </c>
      <c r="F112" s="4">
        <v>1.6158329999999999E-3</v>
      </c>
      <c r="G112" s="2">
        <v>10</v>
      </c>
      <c r="H112" s="1">
        <v>2.47988871919351E-7</v>
      </c>
      <c r="I112" s="1">
        <v>2.2499180300809499E-6</v>
      </c>
      <c r="J112" s="3">
        <v>4.8724297920000001</v>
      </c>
      <c r="K112" s="3">
        <v>7.1964589999999997E-3</v>
      </c>
      <c r="L112" s="3">
        <v>9.0990829160000004</v>
      </c>
    </row>
    <row r="113" spans="1:12" x14ac:dyDescent="0.2">
      <c r="A113" s="2">
        <v>5</v>
      </c>
      <c r="B113" s="2">
        <v>32</v>
      </c>
      <c r="C113" s="2">
        <v>32</v>
      </c>
      <c r="D113" s="2">
        <v>12</v>
      </c>
      <c r="E113" s="4">
        <v>3.0395800000000001E-4</v>
      </c>
      <c r="F113" s="4">
        <v>3.0708749999999998E-3</v>
      </c>
      <c r="G113" s="2">
        <v>10</v>
      </c>
      <c r="H113" s="1">
        <v>2.40633041689376E-7</v>
      </c>
      <c r="I113" s="1">
        <v>2.4405966898011502E-6</v>
      </c>
      <c r="J113" s="3">
        <v>4.8724297920000001</v>
      </c>
      <c r="K113" s="3">
        <v>7.1964589999999997E-3</v>
      </c>
      <c r="L113" s="3">
        <v>9.0990829160000004</v>
      </c>
    </row>
    <row r="114" spans="1:12" x14ac:dyDescent="0.2">
      <c r="A114" s="2">
        <v>5</v>
      </c>
      <c r="B114" s="2">
        <v>32</v>
      </c>
      <c r="C114" s="2">
        <v>32</v>
      </c>
      <c r="D114" s="2">
        <v>13</v>
      </c>
      <c r="E114" s="4">
        <v>3.1325E-4</v>
      </c>
      <c r="F114" s="4">
        <v>1.4959579999999999E-3</v>
      </c>
      <c r="G114" s="2">
        <v>10</v>
      </c>
      <c r="H114" s="1">
        <v>2.2174562020152701E-7</v>
      </c>
      <c r="I114" s="1">
        <v>2.5052156922891998E-6</v>
      </c>
      <c r="J114" s="3">
        <v>4.8724297920000001</v>
      </c>
      <c r="K114" s="3">
        <v>7.1964589999999997E-3</v>
      </c>
      <c r="L114" s="3">
        <v>9.0990829160000004</v>
      </c>
    </row>
    <row r="115" spans="1:12" x14ac:dyDescent="0.2">
      <c r="A115" s="2">
        <v>5</v>
      </c>
      <c r="B115" s="2">
        <v>32</v>
      </c>
      <c r="C115" s="2">
        <v>32</v>
      </c>
      <c r="D115" s="2">
        <v>14</v>
      </c>
      <c r="E115" s="4">
        <v>2.9E-4</v>
      </c>
      <c r="F115" s="4">
        <v>1.4660000000000001E-3</v>
      </c>
      <c r="G115" s="2">
        <v>10</v>
      </c>
      <c r="H115" s="1">
        <v>2.0428151413662899E-7</v>
      </c>
      <c r="I115" s="1">
        <v>2.5635709588118999E-6</v>
      </c>
      <c r="J115" s="3">
        <v>4.8724297920000001</v>
      </c>
      <c r="K115" s="3">
        <v>7.1964589999999997E-3</v>
      </c>
      <c r="L115" s="3">
        <v>9.0990829160000004</v>
      </c>
    </row>
    <row r="116" spans="1:12" x14ac:dyDescent="0.2">
      <c r="A116" s="2">
        <v>5</v>
      </c>
      <c r="B116" s="2">
        <v>32</v>
      </c>
      <c r="C116" s="2">
        <v>32</v>
      </c>
      <c r="D116" s="2">
        <v>15</v>
      </c>
      <c r="E116" s="4">
        <v>3.45917E-4</v>
      </c>
      <c r="F116" s="4">
        <v>1.4174999999999999E-3</v>
      </c>
      <c r="G116" s="2">
        <v>9</v>
      </c>
      <c r="H116" s="1">
        <v>1.99279244323989E-7</v>
      </c>
      <c r="I116" s="1">
        <v>2.7712158708069302E-6</v>
      </c>
      <c r="J116" s="3">
        <v>4.8724297920000001</v>
      </c>
      <c r="K116" s="3">
        <v>7.1964589999999997E-3</v>
      </c>
      <c r="L116" s="3">
        <v>9.0990829160000004</v>
      </c>
    </row>
    <row r="117" spans="1:12" x14ac:dyDescent="0.2">
      <c r="A117" s="2">
        <v>5</v>
      </c>
      <c r="B117" s="2">
        <v>32</v>
      </c>
      <c r="C117" s="2">
        <v>32</v>
      </c>
      <c r="D117" s="2">
        <v>16</v>
      </c>
      <c r="E117" s="4">
        <v>2.6933300000000002E-4</v>
      </c>
      <c r="F117" s="4">
        <v>1.464E-3</v>
      </c>
      <c r="G117" s="2">
        <v>9</v>
      </c>
      <c r="H117" s="1">
        <v>1.8538926818535499E-7</v>
      </c>
      <c r="I117" s="1">
        <v>2.85076059527067E-6</v>
      </c>
      <c r="J117" s="3">
        <v>4.8724297920000001</v>
      </c>
      <c r="K117" s="3">
        <v>7.1964589999999997E-3</v>
      </c>
      <c r="L117" s="3">
        <v>9.0990829160000004</v>
      </c>
    </row>
    <row r="118" spans="1:12" x14ac:dyDescent="0.2">
      <c r="A118" s="2">
        <v>5</v>
      </c>
      <c r="B118" s="2">
        <v>32</v>
      </c>
      <c r="C118" s="2">
        <v>32</v>
      </c>
      <c r="D118" s="2">
        <v>17</v>
      </c>
      <c r="E118" s="4">
        <v>2.2975E-4</v>
      </c>
      <c r="F118" s="4">
        <v>1.4139580000000001E-3</v>
      </c>
      <c r="G118" s="2">
        <v>9</v>
      </c>
      <c r="H118" s="1">
        <v>1.75555514458145E-7</v>
      </c>
      <c r="I118" s="1">
        <v>2.9791948186338799E-6</v>
      </c>
      <c r="J118" s="3">
        <v>4.8724297920000001</v>
      </c>
      <c r="K118" s="3">
        <v>7.1964589999999997E-3</v>
      </c>
      <c r="L118" s="3">
        <v>9.0990829160000004</v>
      </c>
    </row>
    <row r="119" spans="1:12" x14ac:dyDescent="0.2">
      <c r="A119" s="2">
        <v>5</v>
      </c>
      <c r="B119" s="2">
        <v>32</v>
      </c>
      <c r="C119" s="2">
        <v>32</v>
      </c>
      <c r="D119" s="2">
        <v>18</v>
      </c>
      <c r="E119" s="4">
        <v>2.7787500000000002E-4</v>
      </c>
      <c r="F119" s="4">
        <v>1.5447919999999999E-3</v>
      </c>
      <c r="G119" s="2">
        <v>9</v>
      </c>
      <c r="H119" s="1">
        <v>1.67762593305151E-7</v>
      </c>
      <c r="I119" s="1">
        <v>3.13592168848292E-6</v>
      </c>
      <c r="J119" s="3">
        <v>4.8724297920000001</v>
      </c>
      <c r="K119" s="3">
        <v>7.1964589999999997E-3</v>
      </c>
      <c r="L119" s="3">
        <v>9.0990829160000004</v>
      </c>
    </row>
    <row r="120" spans="1:12" x14ac:dyDescent="0.2">
      <c r="A120" s="2">
        <v>5</v>
      </c>
      <c r="B120" s="2">
        <v>32</v>
      </c>
      <c r="C120" s="2">
        <v>32</v>
      </c>
      <c r="D120" s="2">
        <v>19</v>
      </c>
      <c r="E120" s="4">
        <v>3.6041699999999997E-4</v>
      </c>
      <c r="F120" s="4">
        <v>1.4018329999999999E-3</v>
      </c>
      <c r="G120" s="2">
        <v>9</v>
      </c>
      <c r="H120" s="1">
        <v>1.67773190640711E-7</v>
      </c>
      <c r="I120" s="1">
        <v>3.4480637794497699E-6</v>
      </c>
      <c r="J120" s="3">
        <v>4.8724297920000001</v>
      </c>
      <c r="K120" s="3">
        <v>7.1964589999999997E-3</v>
      </c>
      <c r="L120" s="3">
        <v>9.0990829160000004</v>
      </c>
    </row>
    <row r="121" spans="1:12" x14ac:dyDescent="0.2">
      <c r="A121" s="2">
        <v>5</v>
      </c>
      <c r="B121" s="2">
        <v>32</v>
      </c>
      <c r="C121" s="2">
        <v>32</v>
      </c>
      <c r="D121" s="2">
        <v>20</v>
      </c>
      <c r="E121" s="4">
        <v>2.9591699999999998E-4</v>
      </c>
      <c r="F121" s="4">
        <v>1.5057919999999999E-3</v>
      </c>
      <c r="G121" s="2">
        <v>8</v>
      </c>
      <c r="H121" s="1">
        <v>1.6363082831725E-7</v>
      </c>
      <c r="I121" s="1">
        <v>3.6906763778770499E-6</v>
      </c>
      <c r="J121" s="3">
        <v>4.8724297920000001</v>
      </c>
      <c r="K121" s="3">
        <v>7.1964589999999997E-3</v>
      </c>
      <c r="L121" s="3">
        <v>9.0990829160000004</v>
      </c>
    </row>
    <row r="122" spans="1:12" x14ac:dyDescent="0.2">
      <c r="A122" s="2">
        <v>5</v>
      </c>
      <c r="B122" s="2">
        <v>32</v>
      </c>
      <c r="C122" s="2">
        <v>32</v>
      </c>
      <c r="D122" s="2">
        <v>21</v>
      </c>
      <c r="E122" s="4">
        <v>2.2800000000000001E-4</v>
      </c>
      <c r="F122" s="4">
        <v>1.3025409999999999E-3</v>
      </c>
      <c r="G122" s="2">
        <v>8</v>
      </c>
      <c r="H122" s="1">
        <v>1.5412678999957801E-7</v>
      </c>
      <c r="I122" s="1">
        <v>3.8081478863568599E-6</v>
      </c>
      <c r="J122" s="3">
        <v>4.8724297920000001</v>
      </c>
      <c r="K122" s="3">
        <v>7.1964589999999997E-3</v>
      </c>
      <c r="L122" s="3">
        <v>9.0990829160000004</v>
      </c>
    </row>
    <row r="123" spans="1:12" x14ac:dyDescent="0.2">
      <c r="A123" s="2">
        <v>5</v>
      </c>
      <c r="B123" s="2">
        <v>32</v>
      </c>
      <c r="C123" s="2">
        <v>32</v>
      </c>
      <c r="D123" s="2">
        <v>22</v>
      </c>
      <c r="E123" s="4">
        <v>2.12208E-4</v>
      </c>
      <c r="F123" s="4">
        <v>1.4999589999999999E-3</v>
      </c>
      <c r="G123" s="2">
        <v>8</v>
      </c>
      <c r="H123" s="1">
        <v>1.4782094387952999E-7</v>
      </c>
      <c r="I123" s="1">
        <v>3.9936493179167398E-6</v>
      </c>
      <c r="J123" s="3">
        <v>4.8724297920000001</v>
      </c>
      <c r="K123" s="3">
        <v>7.1964589999999997E-3</v>
      </c>
      <c r="L123" s="3">
        <v>9.0990829160000004</v>
      </c>
    </row>
    <row r="124" spans="1:12" x14ac:dyDescent="0.2">
      <c r="A124" s="2">
        <v>5</v>
      </c>
      <c r="B124" s="2">
        <v>32</v>
      </c>
      <c r="C124" s="2">
        <v>32</v>
      </c>
      <c r="D124" s="2">
        <v>23</v>
      </c>
      <c r="E124" s="4">
        <v>2.7599999999999999E-4</v>
      </c>
      <c r="F124" s="4">
        <v>1.87375E-3</v>
      </c>
      <c r="G124" s="2">
        <v>8</v>
      </c>
      <c r="H124" s="1">
        <v>1.4281122930366399E-7</v>
      </c>
      <c r="I124" s="1">
        <v>4.21106624065025E-6</v>
      </c>
      <c r="J124" s="3">
        <v>4.8724297920000001</v>
      </c>
      <c r="K124" s="3">
        <v>7.1964589999999997E-3</v>
      </c>
      <c r="L124" s="3">
        <v>9.0990829160000004</v>
      </c>
    </row>
    <row r="125" spans="1:12" x14ac:dyDescent="0.2">
      <c r="A125" s="2">
        <v>5</v>
      </c>
      <c r="B125" s="2">
        <v>32</v>
      </c>
      <c r="C125" s="2">
        <v>32</v>
      </c>
      <c r="D125" s="2">
        <v>24</v>
      </c>
      <c r="E125" s="4">
        <v>2.8779100000000002E-4</v>
      </c>
      <c r="F125" s="4">
        <v>1.474333E-3</v>
      </c>
      <c r="G125" s="2">
        <v>8</v>
      </c>
      <c r="H125" s="1">
        <v>1.3848323894023701E-7</v>
      </c>
      <c r="I125" s="1">
        <v>4.4484921702799597E-6</v>
      </c>
      <c r="J125" s="3">
        <v>4.8724297920000001</v>
      </c>
      <c r="K125" s="3">
        <v>7.1964589999999997E-3</v>
      </c>
      <c r="L125" s="3">
        <v>9.0990829160000004</v>
      </c>
    </row>
    <row r="126" spans="1:12" x14ac:dyDescent="0.2">
      <c r="A126" s="2">
        <v>5</v>
      </c>
      <c r="B126" s="2">
        <v>32</v>
      </c>
      <c r="C126" s="2">
        <v>32</v>
      </c>
      <c r="D126" s="2">
        <v>25</v>
      </c>
      <c r="E126" s="4">
        <v>3.9175000000000001E-4</v>
      </c>
      <c r="F126" s="4">
        <v>2.274042E-3</v>
      </c>
      <c r="G126" s="2">
        <v>8</v>
      </c>
      <c r="H126" s="1">
        <v>1.3457983845701401E-7</v>
      </c>
      <c r="I126" s="1">
        <v>4.7007154108341398E-6</v>
      </c>
      <c r="J126" s="3">
        <v>4.8724297920000001</v>
      </c>
      <c r="K126" s="3">
        <v>7.1964589999999997E-3</v>
      </c>
      <c r="L126" s="3">
        <v>9.0990829160000004</v>
      </c>
    </row>
    <row r="127" spans="1:12" x14ac:dyDescent="0.2">
      <c r="A127" s="2">
        <v>5</v>
      </c>
      <c r="B127" s="2">
        <v>32</v>
      </c>
      <c r="C127" s="2">
        <v>32</v>
      </c>
      <c r="D127" s="2">
        <v>26</v>
      </c>
      <c r="E127" s="4">
        <v>3.3366599999999999E-4</v>
      </c>
      <c r="F127" s="4">
        <v>1.432916E-3</v>
      </c>
      <c r="G127" s="2">
        <v>8</v>
      </c>
      <c r="H127" s="1">
        <v>1.3097461594420401E-7</v>
      </c>
      <c r="I127" s="1">
        <v>4.9649460123713504E-6</v>
      </c>
      <c r="J127" s="3">
        <v>4.8724297920000001</v>
      </c>
      <c r="K127" s="3">
        <v>7.1964589999999997E-3</v>
      </c>
      <c r="L127" s="3">
        <v>9.0990829160000004</v>
      </c>
    </row>
    <row r="128" spans="1:12" x14ac:dyDescent="0.2">
      <c r="A128" s="2">
        <v>5</v>
      </c>
      <c r="B128" s="2">
        <v>32</v>
      </c>
      <c r="C128" s="2">
        <v>32</v>
      </c>
      <c r="D128" s="2">
        <v>27</v>
      </c>
      <c r="E128" s="4">
        <v>2.6162499999999998E-4</v>
      </c>
      <c r="F128" s="4">
        <v>1.353833E-3</v>
      </c>
      <c r="G128" s="2">
        <v>8</v>
      </c>
      <c r="H128" s="1">
        <v>1.27597175546333E-7</v>
      </c>
      <c r="I128" s="1">
        <v>5.2393885956366702E-6</v>
      </c>
      <c r="J128" s="3">
        <v>4.8724297920000001</v>
      </c>
      <c r="K128" s="3">
        <v>7.1964589999999997E-3</v>
      </c>
      <c r="L128" s="3">
        <v>9.0990829160000004</v>
      </c>
    </row>
    <row r="129" spans="1:12" x14ac:dyDescent="0.2">
      <c r="A129" s="2">
        <v>5</v>
      </c>
      <c r="B129" s="2">
        <v>32</v>
      </c>
      <c r="C129" s="2">
        <v>32</v>
      </c>
      <c r="D129" s="2">
        <v>28</v>
      </c>
      <c r="E129" s="4">
        <v>2.2658300000000001E-4</v>
      </c>
      <c r="F129" s="4">
        <v>1.3896659999999999E-3</v>
      </c>
      <c r="G129" s="2">
        <v>8</v>
      </c>
      <c r="H129" s="1">
        <v>1.25556310406268E-7</v>
      </c>
      <c r="I129" s="1">
        <v>5.57383299399516E-6</v>
      </c>
      <c r="J129" s="3">
        <v>4.8724297920000001</v>
      </c>
      <c r="K129" s="3">
        <v>7.1964589999999997E-3</v>
      </c>
      <c r="L129" s="3">
        <v>9.0990829160000004</v>
      </c>
    </row>
    <row r="130" spans="1:12" x14ac:dyDescent="0.2">
      <c r="A130" s="2">
        <v>5</v>
      </c>
      <c r="B130" s="2">
        <v>32</v>
      </c>
      <c r="C130" s="2">
        <v>32</v>
      </c>
      <c r="D130" s="2">
        <v>29</v>
      </c>
      <c r="E130" s="4">
        <v>3.3279199999999999E-4</v>
      </c>
      <c r="F130" s="4">
        <v>1.3818750000000001E-3</v>
      </c>
      <c r="G130" s="2">
        <v>8</v>
      </c>
      <c r="H130" s="1">
        <v>1.2315826898935999E-7</v>
      </c>
      <c r="I130" s="1">
        <v>5.8995006550393298E-6</v>
      </c>
      <c r="J130" s="3">
        <v>4.8724297920000001</v>
      </c>
      <c r="K130" s="3">
        <v>7.1964589999999997E-3</v>
      </c>
      <c r="L130" s="3">
        <v>9.0990829160000004</v>
      </c>
    </row>
    <row r="131" spans="1:12" x14ac:dyDescent="0.2">
      <c r="A131" s="2">
        <v>5</v>
      </c>
      <c r="B131" s="2">
        <v>32</v>
      </c>
      <c r="C131" s="2">
        <v>32</v>
      </c>
      <c r="D131" s="2">
        <v>30</v>
      </c>
      <c r="E131" s="4">
        <v>2.4995900000000001E-4</v>
      </c>
      <c r="F131" s="4">
        <v>1.3270000000000001E-3</v>
      </c>
      <c r="G131" s="2">
        <v>8</v>
      </c>
      <c r="H131" s="1">
        <v>1.1954855905575999E-7</v>
      </c>
      <c r="I131" s="1">
        <v>6.1672474610033798E-6</v>
      </c>
      <c r="J131" s="3">
        <v>4.8724297920000001</v>
      </c>
      <c r="K131" s="3">
        <v>7.1964589999999997E-3</v>
      </c>
      <c r="L131" s="3">
        <v>9.0990829160000004</v>
      </c>
    </row>
    <row r="132" spans="1:12" x14ac:dyDescent="0.2">
      <c r="A132" s="2">
        <v>5</v>
      </c>
      <c r="B132" s="2">
        <v>32</v>
      </c>
      <c r="C132" s="2">
        <v>32</v>
      </c>
      <c r="D132" s="2">
        <v>31</v>
      </c>
      <c r="E132" s="4">
        <v>3.0079199999999998E-4</v>
      </c>
      <c r="F132" s="4">
        <v>1.3567080000000001E-3</v>
      </c>
      <c r="G132" s="2">
        <v>8</v>
      </c>
      <c r="H132" s="1">
        <v>1.1678267471410601E-7</v>
      </c>
      <c r="I132" s="1">
        <v>6.4756098966802799E-6</v>
      </c>
      <c r="J132" s="3">
        <v>4.8724297920000001</v>
      </c>
      <c r="K132" s="3">
        <v>7.1964589999999997E-3</v>
      </c>
      <c r="L132" s="3">
        <v>9.0990829160000004</v>
      </c>
    </row>
    <row r="133" spans="1:12" x14ac:dyDescent="0.2">
      <c r="A133" s="2">
        <v>5</v>
      </c>
      <c r="B133" s="2">
        <v>32</v>
      </c>
      <c r="C133" s="2">
        <v>32</v>
      </c>
      <c r="D133" s="2">
        <v>32</v>
      </c>
      <c r="E133" s="4">
        <v>3.0620799999999998E-4</v>
      </c>
      <c r="F133" s="4">
        <v>1.4575E-3</v>
      </c>
      <c r="G133" s="2">
        <v>8</v>
      </c>
      <c r="H133" s="1">
        <v>1.14931744315605E-7</v>
      </c>
      <c r="I133" s="1">
        <v>6.8369185253916002E-6</v>
      </c>
      <c r="J133" s="3">
        <v>4.8724297920000001</v>
      </c>
      <c r="K133" s="3">
        <v>7.1964589999999997E-3</v>
      </c>
      <c r="L133" s="3">
        <v>9.0990829160000004</v>
      </c>
    </row>
    <row r="134" spans="1:12" x14ac:dyDescent="0.2">
      <c r="A134" s="2">
        <v>5</v>
      </c>
      <c r="B134" s="2">
        <v>32</v>
      </c>
      <c r="C134" s="2">
        <v>32</v>
      </c>
      <c r="D134" s="2">
        <v>33</v>
      </c>
      <c r="E134" s="4">
        <v>3.0879099999999999E-4</v>
      </c>
      <c r="F134" s="4">
        <v>1.3953329999999999E-3</v>
      </c>
      <c r="G134" s="2">
        <v>8</v>
      </c>
      <c r="H134" s="1">
        <v>1.14162859445775E-7</v>
      </c>
      <c r="I134" s="1">
        <v>7.2716275367663597E-6</v>
      </c>
      <c r="J134" s="3">
        <v>4.8724297920000001</v>
      </c>
      <c r="K134" s="3">
        <v>7.1964589999999997E-3</v>
      </c>
      <c r="L134" s="3">
        <v>9.0990829160000004</v>
      </c>
    </row>
    <row r="135" spans="1:12" x14ac:dyDescent="0.2">
      <c r="A135" s="2">
        <v>5</v>
      </c>
      <c r="B135" s="2">
        <v>32</v>
      </c>
      <c r="C135" s="2">
        <v>32</v>
      </c>
      <c r="D135" s="2">
        <v>34</v>
      </c>
      <c r="E135" s="4">
        <v>2.4425E-4</v>
      </c>
      <c r="F135" s="4">
        <v>1.271292E-3</v>
      </c>
      <c r="G135" s="2">
        <v>8</v>
      </c>
      <c r="H135" s="1">
        <v>1.11626791246979E-7</v>
      </c>
      <c r="I135" s="1">
        <v>7.5986676084310398E-6</v>
      </c>
      <c r="J135" s="3">
        <v>4.8724297920000001</v>
      </c>
      <c r="K135" s="3">
        <v>7.1964589999999997E-3</v>
      </c>
      <c r="L135" s="3">
        <v>9.0990829160000004</v>
      </c>
    </row>
    <row r="136" spans="1:12" x14ac:dyDescent="0.2">
      <c r="A136" s="2">
        <v>5</v>
      </c>
      <c r="B136" s="2">
        <v>32</v>
      </c>
      <c r="C136" s="2">
        <v>32</v>
      </c>
      <c r="D136" s="2">
        <v>35</v>
      </c>
      <c r="E136" s="4">
        <v>5.0833300000000003E-4</v>
      </c>
      <c r="F136" s="4">
        <v>1.365333E-3</v>
      </c>
      <c r="G136" s="2">
        <v>8</v>
      </c>
      <c r="H136" s="1">
        <v>1.0837970154808601E-7</v>
      </c>
      <c r="I136" s="1">
        <v>7.8698209859441705E-6</v>
      </c>
      <c r="J136" s="3">
        <v>4.8724297920000001</v>
      </c>
      <c r="K136" s="3">
        <v>7.1964589999999997E-3</v>
      </c>
      <c r="L136" s="3">
        <v>9.0990829160000004</v>
      </c>
    </row>
    <row r="137" spans="1:12" x14ac:dyDescent="0.2">
      <c r="A137" s="2">
        <v>5</v>
      </c>
      <c r="B137" s="2">
        <v>32</v>
      </c>
      <c r="C137" s="2">
        <v>32</v>
      </c>
      <c r="D137" s="2">
        <v>36</v>
      </c>
      <c r="E137" s="4">
        <v>3.4424999999999999E-4</v>
      </c>
      <c r="F137" s="4">
        <v>1.479083E-3</v>
      </c>
      <c r="G137" s="2">
        <v>8</v>
      </c>
      <c r="H137" s="1">
        <v>1.05117909793687E-7</v>
      </c>
      <c r="I137" s="1">
        <v>8.1271670310248302E-6</v>
      </c>
      <c r="J137" s="3">
        <v>4.8724297920000001</v>
      </c>
      <c r="K137" s="3">
        <v>7.1964589999999997E-3</v>
      </c>
      <c r="L137" s="3">
        <v>9.0990829160000004</v>
      </c>
    </row>
    <row r="138" spans="1:12" x14ac:dyDescent="0.2">
      <c r="A138" s="2">
        <v>5</v>
      </c>
      <c r="B138" s="2">
        <v>32</v>
      </c>
      <c r="C138" s="2">
        <v>32</v>
      </c>
      <c r="D138" s="2">
        <v>37</v>
      </c>
      <c r="E138" s="4">
        <v>2.7216700000000003E-4</v>
      </c>
      <c r="F138" s="4">
        <v>1.291791E-3</v>
      </c>
      <c r="G138" s="2">
        <v>8</v>
      </c>
      <c r="H138" s="1">
        <v>1.0262041706390599E-7</v>
      </c>
      <c r="I138" s="1">
        <v>8.4324448093944804E-6</v>
      </c>
      <c r="J138" s="3">
        <v>4.8724297920000001</v>
      </c>
      <c r="K138" s="3">
        <v>7.1964589999999997E-3</v>
      </c>
      <c r="L138" s="3">
        <v>9.0990829160000004</v>
      </c>
    </row>
    <row r="139" spans="1:12" x14ac:dyDescent="0.2">
      <c r="A139" s="2">
        <v>5</v>
      </c>
      <c r="B139" s="2">
        <v>32</v>
      </c>
      <c r="C139" s="2">
        <v>32</v>
      </c>
      <c r="D139" s="2">
        <v>38</v>
      </c>
      <c r="E139" s="4">
        <v>3.8424999999999999E-4</v>
      </c>
      <c r="F139" s="4">
        <v>1.4251660000000001E-3</v>
      </c>
      <c r="G139" s="2">
        <v>8</v>
      </c>
      <c r="H139" s="1">
        <v>9.9864530916413406E-8</v>
      </c>
      <c r="I139" s="1">
        <v>8.7059441697911893E-6</v>
      </c>
      <c r="J139" s="3">
        <v>4.8724297920000001</v>
      </c>
      <c r="K139" s="3">
        <v>7.1964589999999997E-3</v>
      </c>
      <c r="L139" s="3">
        <v>9.0990829160000004</v>
      </c>
    </row>
    <row r="140" spans="1:12" x14ac:dyDescent="0.2">
      <c r="A140" s="2">
        <v>5</v>
      </c>
      <c r="B140" s="2">
        <v>32</v>
      </c>
      <c r="C140" s="2">
        <v>32</v>
      </c>
      <c r="D140" s="2">
        <v>39</v>
      </c>
      <c r="E140" s="4">
        <v>3.5974999999999999E-4</v>
      </c>
      <c r="F140" s="4">
        <v>1.352584E-3</v>
      </c>
      <c r="G140" s="2">
        <v>8</v>
      </c>
      <c r="H140" s="1">
        <v>9.7416455414509601E-8</v>
      </c>
      <c r="I140" s="1">
        <v>8.9942939294400395E-6</v>
      </c>
      <c r="J140" s="3">
        <v>4.8724297920000001</v>
      </c>
      <c r="K140" s="3">
        <v>7.1964589999999997E-3</v>
      </c>
      <c r="L140" s="3">
        <v>9.0990829160000004</v>
      </c>
    </row>
    <row r="141" spans="1:12" x14ac:dyDescent="0.2">
      <c r="A141" s="2">
        <v>5</v>
      </c>
      <c r="B141" s="2">
        <v>32</v>
      </c>
      <c r="C141" s="2">
        <v>32</v>
      </c>
      <c r="D141" s="2">
        <v>40</v>
      </c>
      <c r="E141" s="4">
        <v>3.6499999999999998E-4</v>
      </c>
      <c r="F141" s="4">
        <v>1.372208E-3</v>
      </c>
      <c r="G141" s="2">
        <v>8</v>
      </c>
      <c r="H141" s="1">
        <v>9.5181572505435195E-8</v>
      </c>
      <c r="I141" s="1">
        <v>9.2914228014304796E-6</v>
      </c>
      <c r="J141" s="3">
        <v>4.8724297920000001</v>
      </c>
      <c r="K141" s="3">
        <v>7.1964589999999997E-3</v>
      </c>
      <c r="L141" s="3">
        <v>9.0990829160000004</v>
      </c>
    </row>
    <row r="142" spans="1:12" x14ac:dyDescent="0.2">
      <c r="A142" s="2">
        <v>5</v>
      </c>
      <c r="B142" s="2">
        <v>32</v>
      </c>
      <c r="C142" s="2">
        <v>32</v>
      </c>
      <c r="D142" s="2">
        <v>41</v>
      </c>
      <c r="E142" s="4">
        <v>2.7904200000000002E-4</v>
      </c>
      <c r="F142" s="4">
        <v>1.322667E-3</v>
      </c>
      <c r="G142" s="2">
        <v>8</v>
      </c>
      <c r="H142" s="1">
        <v>9.30971945014341E-8</v>
      </c>
      <c r="I142" s="1">
        <v>9.5928031763781997E-6</v>
      </c>
      <c r="J142" s="3">
        <v>4.8724297920000001</v>
      </c>
      <c r="K142" s="3">
        <v>7.1964589999999997E-3</v>
      </c>
      <c r="L142" s="3">
        <v>9.0990829160000004</v>
      </c>
    </row>
    <row r="143" spans="1:12" x14ac:dyDescent="0.2">
      <c r="A143" s="2">
        <v>5</v>
      </c>
      <c r="B143" s="2">
        <v>32</v>
      </c>
      <c r="C143" s="2">
        <v>32</v>
      </c>
      <c r="D143" s="2">
        <v>42</v>
      </c>
      <c r="E143" s="4">
        <v>5.4370799999999995E-4</v>
      </c>
      <c r="F143" s="4">
        <v>1.512333E-3</v>
      </c>
      <c r="G143" s="2">
        <v>8</v>
      </c>
      <c r="H143" s="1">
        <v>9.1125293785098594E-8</v>
      </c>
      <c r="I143" s="1">
        <v>9.8954186408126993E-6</v>
      </c>
      <c r="J143" s="3">
        <v>4.8724297920000001</v>
      </c>
      <c r="K143" s="3">
        <v>7.1964589999999997E-3</v>
      </c>
      <c r="L143" s="3">
        <v>9.0990829160000004</v>
      </c>
    </row>
    <row r="144" spans="1:12" x14ac:dyDescent="0.2">
      <c r="A144" s="2">
        <v>5</v>
      </c>
      <c r="B144" s="2">
        <v>32</v>
      </c>
      <c r="C144" s="2">
        <v>32</v>
      </c>
      <c r="D144" s="2">
        <v>43</v>
      </c>
      <c r="E144" s="4">
        <v>3.6887500000000001E-4</v>
      </c>
      <c r="F144" s="4">
        <v>1.3485000000000001E-3</v>
      </c>
      <c r="G144" s="2">
        <v>8</v>
      </c>
      <c r="H144" s="1">
        <v>8.9243029933020701E-8</v>
      </c>
      <c r="I144" s="1">
        <v>1.0197299636288801E-5</v>
      </c>
      <c r="J144" s="3">
        <v>4.8724297920000001</v>
      </c>
      <c r="K144" s="3">
        <v>7.1964589999999997E-3</v>
      </c>
      <c r="L144" s="3">
        <v>9.0990829160000004</v>
      </c>
    </row>
    <row r="145" spans="1:12" x14ac:dyDescent="0.2">
      <c r="A145" s="2">
        <v>5</v>
      </c>
      <c r="B145" s="2">
        <v>32</v>
      </c>
      <c r="C145" s="2">
        <v>32</v>
      </c>
      <c r="D145" s="2">
        <v>44</v>
      </c>
      <c r="E145" s="4">
        <v>2.8079100000000002E-4</v>
      </c>
      <c r="F145" s="4">
        <v>1.8560409999999999E-3</v>
      </c>
      <c r="G145" s="2">
        <v>8</v>
      </c>
      <c r="H145" s="1">
        <v>8.7436307436332405E-8</v>
      </c>
      <c r="I145" s="1">
        <v>1.0497142358842399E-5</v>
      </c>
      <c r="J145" s="3">
        <v>4.8724297920000001</v>
      </c>
      <c r="K145" s="3">
        <v>7.1964589999999997E-3</v>
      </c>
      <c r="L145" s="3">
        <v>9.0990829160000004</v>
      </c>
    </row>
    <row r="146" spans="1:12" x14ac:dyDescent="0.2">
      <c r="A146" s="2">
        <v>5</v>
      </c>
      <c r="B146" s="2">
        <v>32</v>
      </c>
      <c r="C146" s="2">
        <v>32</v>
      </c>
      <c r="D146" s="2">
        <v>45</v>
      </c>
      <c r="E146" s="4">
        <v>2.7441599999999998E-4</v>
      </c>
      <c r="F146" s="4">
        <v>1.84575E-3</v>
      </c>
      <c r="G146" s="2">
        <v>8</v>
      </c>
      <c r="H146" s="1">
        <v>8.5696041972965099E-8</v>
      </c>
      <c r="I146" s="1">
        <v>1.07940687271345E-5</v>
      </c>
      <c r="J146" s="3">
        <v>4.8724297920000001</v>
      </c>
      <c r="K146" s="3">
        <v>7.1964589999999997E-3</v>
      </c>
      <c r="L146" s="3">
        <v>9.0990829160000004</v>
      </c>
    </row>
    <row r="147" spans="1:12" x14ac:dyDescent="0.2">
      <c r="A147" s="2">
        <v>5</v>
      </c>
      <c r="B147" s="2">
        <v>32</v>
      </c>
      <c r="C147" s="2">
        <v>32</v>
      </c>
      <c r="D147" s="2">
        <v>46</v>
      </c>
      <c r="E147" s="4">
        <v>2.40292E-4</v>
      </c>
      <c r="F147" s="4">
        <v>1.5520830000000001E-3</v>
      </c>
      <c r="G147" s="2">
        <v>8</v>
      </c>
      <c r="H147" s="1">
        <v>8.4177577837339001E-8</v>
      </c>
      <c r="I147" s="1">
        <v>1.1108797592177601E-5</v>
      </c>
      <c r="J147" s="3">
        <v>4.8724297920000001</v>
      </c>
      <c r="K147" s="3">
        <v>7.1964589999999997E-3</v>
      </c>
      <c r="L147" s="3">
        <v>9.0990829160000004</v>
      </c>
    </row>
    <row r="148" spans="1:12" x14ac:dyDescent="0.2">
      <c r="A148" s="2">
        <v>5</v>
      </c>
      <c r="B148" s="2">
        <v>32</v>
      </c>
      <c r="C148" s="2">
        <v>32</v>
      </c>
      <c r="D148" s="2">
        <v>47</v>
      </c>
      <c r="E148" s="4">
        <v>2.5145799999999998E-4</v>
      </c>
      <c r="F148" s="4">
        <v>1.410917E-3</v>
      </c>
      <c r="G148" s="2">
        <v>8</v>
      </c>
      <c r="H148" s="1">
        <v>8.2507792764396505E-8</v>
      </c>
      <c r="I148" s="1">
        <v>1.1392982513760401E-5</v>
      </c>
      <c r="J148" s="3">
        <v>4.8724297920000001</v>
      </c>
      <c r="K148" s="3">
        <v>7.1964589999999997E-3</v>
      </c>
      <c r="L148" s="3">
        <v>9.0990829160000004</v>
      </c>
    </row>
    <row r="149" spans="1:12" x14ac:dyDescent="0.2">
      <c r="A149" s="2">
        <v>5</v>
      </c>
      <c r="B149" s="2">
        <v>32</v>
      </c>
      <c r="C149" s="2">
        <v>32</v>
      </c>
      <c r="D149" s="2">
        <v>48</v>
      </c>
      <c r="E149" s="4">
        <v>2.5945800000000001E-4</v>
      </c>
      <c r="F149" s="4">
        <v>1.2739170000000001E-3</v>
      </c>
      <c r="G149" s="2">
        <v>8</v>
      </c>
      <c r="H149" s="1">
        <v>8.0873400133526705E-8</v>
      </c>
      <c r="I149" s="1">
        <v>1.16699821528865E-5</v>
      </c>
      <c r="J149" s="3">
        <v>4.8724297920000001</v>
      </c>
      <c r="K149" s="3">
        <v>7.1964589999999997E-3</v>
      </c>
      <c r="L149" s="3">
        <v>9.0990829160000004</v>
      </c>
    </row>
    <row r="150" spans="1:12" x14ac:dyDescent="0.2">
      <c r="A150" s="2">
        <v>5</v>
      </c>
      <c r="B150" s="2">
        <v>32</v>
      </c>
      <c r="C150" s="2">
        <v>32</v>
      </c>
      <c r="D150" s="2">
        <v>49</v>
      </c>
      <c r="E150" s="4">
        <v>3.2208300000000003E-4</v>
      </c>
      <c r="F150" s="4">
        <v>1.364334E-3</v>
      </c>
      <c r="G150" s="2">
        <v>8</v>
      </c>
      <c r="H150" s="1">
        <v>7.9302201182760096E-8</v>
      </c>
      <c r="I150" s="1">
        <v>1.1943906931295299E-5</v>
      </c>
      <c r="J150" s="3">
        <v>4.8724297920000001</v>
      </c>
      <c r="K150" s="3">
        <v>7.1964589999999997E-3</v>
      </c>
      <c r="L150" s="3">
        <v>9.0990829160000004</v>
      </c>
    </row>
    <row r="151" spans="1:12" x14ac:dyDescent="0.2">
      <c r="A151" s="2">
        <v>5</v>
      </c>
      <c r="B151" s="2">
        <v>32</v>
      </c>
      <c r="C151" s="2">
        <v>32</v>
      </c>
      <c r="D151" s="2">
        <v>50</v>
      </c>
      <c r="E151" s="4">
        <v>2.9516699999999999E-4</v>
      </c>
      <c r="F151" s="4">
        <v>1.2977920000000001E-3</v>
      </c>
      <c r="G151" s="2">
        <v>8</v>
      </c>
      <c r="H151" s="1">
        <v>7.77877653196725E-8</v>
      </c>
      <c r="I151" s="1">
        <v>1.22142834417386E-5</v>
      </c>
      <c r="J151" s="3">
        <v>4.8724297920000001</v>
      </c>
      <c r="K151" s="3">
        <v>7.1964589999999997E-3</v>
      </c>
      <c r="L151" s="3">
        <v>9.0990829160000004</v>
      </c>
    </row>
    <row r="152" spans="1:12" x14ac:dyDescent="0.2">
      <c r="A152" s="2">
        <v>5</v>
      </c>
      <c r="B152" s="2">
        <v>32</v>
      </c>
      <c r="C152" s="2">
        <v>32</v>
      </c>
      <c r="D152" s="2">
        <v>51</v>
      </c>
      <c r="E152" s="4">
        <v>2.3108300000000001E-4</v>
      </c>
      <c r="F152" s="4">
        <v>1.3236249999999999E-3</v>
      </c>
      <c r="G152" s="2">
        <v>7</v>
      </c>
      <c r="H152" s="1">
        <v>7.6383541202944694E-8</v>
      </c>
      <c r="I152" s="1">
        <v>1.24903523196688E-5</v>
      </c>
      <c r="J152" s="3">
        <v>4.8724297920000001</v>
      </c>
      <c r="K152" s="3">
        <v>7.1964589999999997E-3</v>
      </c>
      <c r="L152" s="3">
        <v>9.0990829160000004</v>
      </c>
    </row>
    <row r="153" spans="1:12" x14ac:dyDescent="0.2">
      <c r="A153" s="2">
        <v>5</v>
      </c>
      <c r="B153" s="2">
        <v>32</v>
      </c>
      <c r="C153" s="2">
        <v>32</v>
      </c>
      <c r="D153" s="2">
        <v>52</v>
      </c>
      <c r="E153" s="4">
        <v>3.0787499999999999E-4</v>
      </c>
      <c r="F153" s="4">
        <v>1.332583E-3</v>
      </c>
      <c r="G153" s="2">
        <v>7</v>
      </c>
      <c r="H153" s="1">
        <v>7.4917118147262302E-8</v>
      </c>
      <c r="I153" s="1">
        <v>1.2744422724833901E-5</v>
      </c>
      <c r="J153" s="3">
        <v>4.8724297920000001</v>
      </c>
      <c r="K153" s="3">
        <v>7.1964589999999997E-3</v>
      </c>
      <c r="L153" s="3">
        <v>9.0990829160000004</v>
      </c>
    </row>
    <row r="154" spans="1:12" x14ac:dyDescent="0.2">
      <c r="A154" s="2">
        <v>5</v>
      </c>
      <c r="B154" s="2">
        <v>32</v>
      </c>
      <c r="C154" s="2">
        <v>32</v>
      </c>
      <c r="D154" s="2">
        <v>53</v>
      </c>
      <c r="E154" s="4">
        <v>3.3104199999999998E-4</v>
      </c>
      <c r="F154" s="4">
        <v>1.4012079999999999E-3</v>
      </c>
      <c r="G154" s="2">
        <v>7</v>
      </c>
      <c r="H154" s="1">
        <v>7.3510816426082199E-8</v>
      </c>
      <c r="I154" s="1">
        <v>1.2996407257427699E-5</v>
      </c>
      <c r="J154" s="3">
        <v>4.8724297920000001</v>
      </c>
      <c r="K154" s="3">
        <v>7.1964589999999997E-3</v>
      </c>
      <c r="L154" s="3">
        <v>9.0990829160000004</v>
      </c>
    </row>
    <row r="155" spans="1:12" x14ac:dyDescent="0.2">
      <c r="A155" s="2">
        <v>5</v>
      </c>
      <c r="B155" s="2">
        <v>32</v>
      </c>
      <c r="C155" s="2">
        <v>32</v>
      </c>
      <c r="D155" s="2">
        <v>54</v>
      </c>
      <c r="E155" s="4">
        <v>2.9933299999999999E-4</v>
      </c>
      <c r="F155" s="4">
        <v>1.3066670000000001E-3</v>
      </c>
      <c r="G155" s="2">
        <v>7</v>
      </c>
      <c r="H155" s="1">
        <v>7.2155830239859395E-8</v>
      </c>
      <c r="I155" s="1">
        <v>1.32454677917743E-5</v>
      </c>
      <c r="J155" s="3">
        <v>4.8724297920000001</v>
      </c>
      <c r="K155" s="3">
        <v>7.1964589999999997E-3</v>
      </c>
      <c r="L155" s="3">
        <v>9.0990829160000004</v>
      </c>
    </row>
    <row r="156" spans="1:12" x14ac:dyDescent="0.2">
      <c r="A156" s="2">
        <v>5</v>
      </c>
      <c r="B156" s="2">
        <v>32</v>
      </c>
      <c r="C156" s="2">
        <v>32</v>
      </c>
      <c r="D156" s="2">
        <v>55</v>
      </c>
      <c r="E156" s="4">
        <v>3.3149999999999998E-4</v>
      </c>
      <c r="F156" s="4">
        <v>1.3709169999999999E-3</v>
      </c>
      <c r="G156" s="2">
        <v>7</v>
      </c>
      <c r="H156" s="1">
        <v>7.0846646188196902E-8</v>
      </c>
      <c r="I156" s="1">
        <v>1.34912188814691E-5</v>
      </c>
      <c r="J156" s="3">
        <v>4.8724297920000001</v>
      </c>
      <c r="K156" s="3">
        <v>7.1964589999999997E-3</v>
      </c>
      <c r="L156" s="3">
        <v>9.0990829160000004</v>
      </c>
    </row>
    <row r="157" spans="1:12" x14ac:dyDescent="0.2">
      <c r="A157" s="2">
        <v>5</v>
      </c>
      <c r="B157" s="2">
        <v>32</v>
      </c>
      <c r="C157" s="2">
        <v>32</v>
      </c>
      <c r="D157" s="2">
        <v>56</v>
      </c>
      <c r="E157" s="4">
        <v>4.4283400000000002E-4</v>
      </c>
      <c r="F157" s="4">
        <v>1.38025E-3</v>
      </c>
      <c r="G157" s="2">
        <v>7</v>
      </c>
      <c r="H157" s="1">
        <v>6.9579393857540404E-8</v>
      </c>
      <c r="I157" s="1">
        <v>1.3733503883313499E-5</v>
      </c>
      <c r="J157" s="3">
        <v>4.8724297920000001</v>
      </c>
      <c r="K157" s="3">
        <v>7.1964589999999997E-3</v>
      </c>
      <c r="L157" s="3">
        <v>9.0990829160000004</v>
      </c>
    </row>
    <row r="158" spans="1:12" x14ac:dyDescent="0.2">
      <c r="A158" s="2">
        <v>5</v>
      </c>
      <c r="B158" s="2">
        <v>32</v>
      </c>
      <c r="C158" s="2">
        <v>32</v>
      </c>
      <c r="D158" s="2">
        <v>57</v>
      </c>
      <c r="E158" s="4">
        <v>3.22625E-4</v>
      </c>
      <c r="F158" s="4">
        <v>1.5026670000000001E-3</v>
      </c>
      <c r="G158" s="2">
        <v>7</v>
      </c>
      <c r="H158" s="1">
        <v>6.8351117906941194E-8</v>
      </c>
      <c r="I158" s="1">
        <v>1.39722944981368E-5</v>
      </c>
      <c r="J158" s="3">
        <v>4.8724297920000001</v>
      </c>
      <c r="K158" s="3">
        <v>7.1964589999999997E-3</v>
      </c>
      <c r="L158" s="3">
        <v>9.0990829160000004</v>
      </c>
    </row>
    <row r="159" spans="1:12" x14ac:dyDescent="0.2">
      <c r="A159" s="2">
        <v>5</v>
      </c>
      <c r="B159" s="2">
        <v>32</v>
      </c>
      <c r="C159" s="2">
        <v>32</v>
      </c>
      <c r="D159" s="2">
        <v>58</v>
      </c>
      <c r="E159" s="4">
        <v>2.96125E-4</v>
      </c>
      <c r="F159" s="4">
        <v>1.7992500000000001E-3</v>
      </c>
      <c r="G159" s="2">
        <v>7</v>
      </c>
      <c r="H159" s="1">
        <v>6.7159425474723195E-8</v>
      </c>
      <c r="I159" s="1">
        <v>1.4207641084602499E-5</v>
      </c>
      <c r="J159" s="3">
        <v>4.8724297920000001</v>
      </c>
      <c r="K159" s="3">
        <v>7.1964589999999997E-3</v>
      </c>
      <c r="L159" s="3">
        <v>9.0990829160000004</v>
      </c>
    </row>
    <row r="160" spans="1:12" x14ac:dyDescent="0.2">
      <c r="A160" s="2">
        <v>5</v>
      </c>
      <c r="B160" s="2">
        <v>32</v>
      </c>
      <c r="C160" s="2">
        <v>32</v>
      </c>
      <c r="D160" s="2">
        <v>59</v>
      </c>
      <c r="E160" s="4">
        <v>1.9758300000000001E-4</v>
      </c>
      <c r="F160" s="4">
        <v>1.3857920000000001E-3</v>
      </c>
      <c r="G160" s="2">
        <v>7</v>
      </c>
      <c r="H160" s="1">
        <v>6.6002298762375796E-8</v>
      </c>
      <c r="I160" s="1">
        <v>1.44396453887247E-5</v>
      </c>
      <c r="J160" s="3">
        <v>4.8724297920000001</v>
      </c>
      <c r="K160" s="3">
        <v>7.1964589999999997E-3</v>
      </c>
      <c r="L160" s="3">
        <v>9.0990829160000004</v>
      </c>
    </row>
    <row r="161" spans="1:12" x14ac:dyDescent="0.2">
      <c r="A161" s="2">
        <v>5</v>
      </c>
      <c r="B161" s="2">
        <v>32</v>
      </c>
      <c r="C161" s="2">
        <v>32</v>
      </c>
      <c r="D161" s="2">
        <v>60</v>
      </c>
      <c r="E161" s="4">
        <v>2.7399999999999999E-4</v>
      </c>
      <c r="F161" s="4">
        <v>1.3550420000000001E-3</v>
      </c>
      <c r="G161" s="2">
        <v>7</v>
      </c>
      <c r="H161" s="1">
        <v>6.4877986345210696E-8</v>
      </c>
      <c r="I161" s="1">
        <v>1.46684439452634E-5</v>
      </c>
      <c r="J161" s="3">
        <v>4.8724297920000001</v>
      </c>
      <c r="K161" s="3">
        <v>7.1964589999999997E-3</v>
      </c>
      <c r="L161" s="3">
        <v>9.0990829160000004</v>
      </c>
    </row>
    <row r="162" spans="1:12" x14ac:dyDescent="0.2">
      <c r="A162" s="2">
        <v>5</v>
      </c>
      <c r="B162" s="2">
        <v>32</v>
      </c>
      <c r="C162" s="2">
        <v>32</v>
      </c>
      <c r="D162" s="2">
        <v>61</v>
      </c>
      <c r="E162" s="4">
        <v>3.0058299999999999E-4</v>
      </c>
      <c r="F162" s="4">
        <v>1.3047499999999999E-3</v>
      </c>
      <c r="G162" s="2">
        <v>7</v>
      </c>
      <c r="H162" s="1">
        <v>6.3784934836382802E-8</v>
      </c>
      <c r="I162" s="1">
        <v>1.48941969221703E-5</v>
      </c>
      <c r="J162" s="3">
        <v>4.8724297920000001</v>
      </c>
      <c r="K162" s="3">
        <v>7.1964589999999997E-3</v>
      </c>
      <c r="L162" s="3">
        <v>9.0990829160000004</v>
      </c>
    </row>
    <row r="163" spans="1:12" x14ac:dyDescent="0.2">
      <c r="A163" s="2">
        <v>5</v>
      </c>
      <c r="B163" s="2">
        <v>32</v>
      </c>
      <c r="C163" s="2">
        <v>32</v>
      </c>
      <c r="D163" s="2">
        <v>62</v>
      </c>
      <c r="E163" s="4">
        <v>2.3966600000000001E-4</v>
      </c>
      <c r="F163" s="4">
        <v>1.362666E-3</v>
      </c>
      <c r="G163" s="2">
        <v>7</v>
      </c>
      <c r="H163" s="1">
        <v>6.2721742374274704E-8</v>
      </c>
      <c r="I163" s="1">
        <v>1.5117079852108999E-5</v>
      </c>
      <c r="J163" s="3">
        <v>4.8724297920000001</v>
      </c>
      <c r="K163" s="3">
        <v>7.1964589999999997E-3</v>
      </c>
      <c r="L163" s="3">
        <v>9.0990829160000004</v>
      </c>
    </row>
    <row r="164" spans="1:12" x14ac:dyDescent="0.2">
      <c r="A164" s="2">
        <v>5</v>
      </c>
      <c r="B164" s="2">
        <v>32</v>
      </c>
      <c r="C164" s="2">
        <v>32</v>
      </c>
      <c r="D164" s="2">
        <v>63</v>
      </c>
      <c r="E164" s="4">
        <v>2.3704100000000001E-4</v>
      </c>
      <c r="F164" s="4">
        <v>1.317917E-3</v>
      </c>
      <c r="G164" s="2">
        <v>7</v>
      </c>
      <c r="H164" s="1">
        <v>6.1687123338387503E-8</v>
      </c>
      <c r="I164" s="1">
        <v>1.53372766383226E-5</v>
      </c>
      <c r="J164" s="3">
        <v>4.8724297920000001</v>
      </c>
      <c r="K164" s="3">
        <v>7.1964589999999997E-3</v>
      </c>
      <c r="L164" s="3">
        <v>9.0990829160000004</v>
      </c>
    </row>
    <row r="165" spans="1:12" x14ac:dyDescent="0.2">
      <c r="A165" s="2">
        <v>5</v>
      </c>
      <c r="B165" s="2">
        <v>32</v>
      </c>
      <c r="C165" s="2">
        <v>32</v>
      </c>
      <c r="D165" s="2">
        <v>64</v>
      </c>
      <c r="E165" s="4">
        <v>3.2904199999999998E-4</v>
      </c>
      <c r="F165" s="4">
        <v>1.370167E-3</v>
      </c>
      <c r="G165" s="2">
        <v>7</v>
      </c>
      <c r="H165" s="1">
        <v>6.0789228227094399E-8</v>
      </c>
      <c r="I165" s="1">
        <v>1.5583004087507002E-5</v>
      </c>
      <c r="J165" s="3">
        <v>4.8724297920000001</v>
      </c>
      <c r="K165" s="3">
        <v>7.1964589999999997E-3</v>
      </c>
      <c r="L165" s="3">
        <v>9.0990829160000004</v>
      </c>
    </row>
    <row r="166" spans="1:12" x14ac:dyDescent="0.2">
      <c r="A166" s="2">
        <v>5</v>
      </c>
      <c r="B166" s="2">
        <v>32</v>
      </c>
      <c r="C166" s="2">
        <v>32</v>
      </c>
      <c r="D166" s="2">
        <v>65</v>
      </c>
      <c r="E166" s="4">
        <v>2.8329199999999998E-4</v>
      </c>
      <c r="F166" s="4">
        <v>1.290125E-3</v>
      </c>
      <c r="G166" s="2">
        <v>7</v>
      </c>
      <c r="H166" s="1">
        <v>5.9761170885494102E-8</v>
      </c>
      <c r="I166" s="1">
        <v>1.5786807071882799E-5</v>
      </c>
      <c r="J166" s="3">
        <v>4.8724297920000001</v>
      </c>
      <c r="K166" s="3">
        <v>7.1964589999999997E-3</v>
      </c>
      <c r="L166" s="3">
        <v>9.0990829160000004</v>
      </c>
    </row>
    <row r="167" spans="1:12" x14ac:dyDescent="0.2">
      <c r="A167" s="2">
        <v>5</v>
      </c>
      <c r="B167" s="2">
        <v>32</v>
      </c>
      <c r="C167" s="2">
        <v>32</v>
      </c>
      <c r="D167" s="2">
        <v>66</v>
      </c>
      <c r="E167" s="4">
        <v>2.7358299999999999E-4</v>
      </c>
      <c r="F167" s="4">
        <v>1.8526669999999999E-3</v>
      </c>
      <c r="G167" s="2">
        <v>7</v>
      </c>
      <c r="H167" s="1">
        <v>5.8781147237443299E-8</v>
      </c>
      <c r="I167" s="1">
        <v>1.5993955794553899E-5</v>
      </c>
      <c r="J167" s="3">
        <v>4.8724297920000001</v>
      </c>
      <c r="K167" s="3">
        <v>7.1964589999999997E-3</v>
      </c>
      <c r="L167" s="3">
        <v>9.0990829160000004</v>
      </c>
    </row>
    <row r="168" spans="1:12" x14ac:dyDescent="0.2">
      <c r="A168" s="2">
        <v>5</v>
      </c>
      <c r="B168" s="2">
        <v>32</v>
      </c>
      <c r="C168" s="2">
        <v>32</v>
      </c>
      <c r="D168" s="2">
        <v>67</v>
      </c>
      <c r="E168" s="4">
        <v>2.19292E-4</v>
      </c>
      <c r="F168" s="4">
        <v>1.6764589999999999E-3</v>
      </c>
      <c r="G168" s="2">
        <v>7</v>
      </c>
      <c r="H168" s="1">
        <v>5.7840223113405703E-8</v>
      </c>
      <c r="I168" s="1">
        <v>1.6202938959023599E-5</v>
      </c>
      <c r="J168" s="3">
        <v>4.8724297920000001</v>
      </c>
      <c r="K168" s="3">
        <v>7.1964589999999997E-3</v>
      </c>
      <c r="L168" s="3">
        <v>9.0990829160000004</v>
      </c>
    </row>
    <row r="169" spans="1:12" x14ac:dyDescent="0.2">
      <c r="A169" s="2">
        <v>5</v>
      </c>
      <c r="B169" s="2">
        <v>32</v>
      </c>
      <c r="C169" s="2">
        <v>32</v>
      </c>
      <c r="D169" s="2">
        <v>68</v>
      </c>
      <c r="E169" s="4">
        <v>3.5312499999999998E-4</v>
      </c>
      <c r="F169" s="4">
        <v>1.7197499999999999E-3</v>
      </c>
      <c r="G169" s="2">
        <v>7</v>
      </c>
      <c r="H169" s="1">
        <v>5.6932019907932802E-8</v>
      </c>
      <c r="I169" s="1">
        <v>1.64127164042464E-5</v>
      </c>
      <c r="J169" s="3">
        <v>4.8724297920000001</v>
      </c>
      <c r="K169" s="3">
        <v>7.1964589999999997E-3</v>
      </c>
      <c r="L169" s="3">
        <v>9.0990829160000004</v>
      </c>
    </row>
    <row r="170" spans="1:12" x14ac:dyDescent="0.2">
      <c r="A170" s="2">
        <v>5</v>
      </c>
      <c r="B170" s="2">
        <v>32</v>
      </c>
      <c r="C170" s="2">
        <v>32</v>
      </c>
      <c r="D170" s="2">
        <v>69</v>
      </c>
      <c r="E170" s="4">
        <v>4.4895900000000002E-4</v>
      </c>
      <c r="F170" s="4">
        <v>1.3570839999999999E-3</v>
      </c>
      <c r="G170" s="2">
        <v>7</v>
      </c>
      <c r="H170" s="1">
        <v>5.6051896171426198E-8</v>
      </c>
      <c r="I170" s="1">
        <v>1.6622571556668399E-5</v>
      </c>
      <c r="J170" s="3">
        <v>4.8724297920000001</v>
      </c>
      <c r="K170" s="3">
        <v>7.1964589999999997E-3</v>
      </c>
      <c r="L170" s="3">
        <v>9.0990829160000004</v>
      </c>
    </row>
    <row r="171" spans="1:12" x14ac:dyDescent="0.2">
      <c r="A171" s="2">
        <v>5</v>
      </c>
      <c r="B171" s="2">
        <v>32</v>
      </c>
      <c r="C171" s="2">
        <v>32</v>
      </c>
      <c r="D171" s="2">
        <v>70</v>
      </c>
      <c r="E171" s="4">
        <v>3.23958E-4</v>
      </c>
      <c r="F171" s="4">
        <v>1.3671670000000001E-3</v>
      </c>
      <c r="G171" s="2">
        <v>7</v>
      </c>
      <c r="H171" s="1">
        <v>5.5196451152820601E-8</v>
      </c>
      <c r="I171" s="1">
        <v>1.6832025165238899E-5</v>
      </c>
      <c r="J171" s="3">
        <v>4.8724297920000001</v>
      </c>
      <c r="K171" s="3">
        <v>7.1964589999999997E-3</v>
      </c>
      <c r="L171" s="3">
        <v>9.0990829160000004</v>
      </c>
    </row>
    <row r="172" spans="1:12" x14ac:dyDescent="0.2">
      <c r="A172" s="2">
        <v>5</v>
      </c>
      <c r="B172" s="2">
        <v>32</v>
      </c>
      <c r="C172" s="2">
        <v>32</v>
      </c>
      <c r="D172" s="2">
        <v>71</v>
      </c>
      <c r="E172" s="4">
        <v>3.88417E-4</v>
      </c>
      <c r="F172" s="4">
        <v>1.447416E-3</v>
      </c>
      <c r="G172" s="2">
        <v>7</v>
      </c>
      <c r="H172" s="1">
        <v>5.4363185759058403E-8</v>
      </c>
      <c r="I172" s="1">
        <v>1.7040776049403101E-5</v>
      </c>
      <c r="J172" s="3">
        <v>4.8724297920000001</v>
      </c>
      <c r="K172" s="3">
        <v>7.1964589999999997E-3</v>
      </c>
      <c r="L172" s="3">
        <v>9.0990829160000004</v>
      </c>
    </row>
    <row r="173" spans="1:12" x14ac:dyDescent="0.2">
      <c r="A173" s="2">
        <v>5</v>
      </c>
      <c r="B173" s="2">
        <v>32</v>
      </c>
      <c r="C173" s="2">
        <v>32</v>
      </c>
      <c r="D173" s="2">
        <v>72</v>
      </c>
      <c r="E173" s="4">
        <v>2.8487500000000003E-4</v>
      </c>
      <c r="F173" s="4">
        <v>1.442083E-3</v>
      </c>
      <c r="G173" s="2">
        <v>7</v>
      </c>
      <c r="H173" s="1">
        <v>5.3550255573914497E-8</v>
      </c>
      <c r="I173" s="1">
        <v>1.7248656169970499E-5</v>
      </c>
      <c r="J173" s="3">
        <v>4.8724297920000001</v>
      </c>
      <c r="K173" s="3">
        <v>7.1964589999999997E-3</v>
      </c>
      <c r="L173" s="3">
        <v>9.0990829160000004</v>
      </c>
    </row>
    <row r="174" spans="1:12" x14ac:dyDescent="0.2">
      <c r="A174" s="2">
        <v>5</v>
      </c>
      <c r="B174" s="2">
        <v>32</v>
      </c>
      <c r="C174" s="2">
        <v>32</v>
      </c>
      <c r="D174" s="2">
        <v>73</v>
      </c>
      <c r="E174" s="4">
        <v>2.7195799999999999E-4</v>
      </c>
      <c r="F174" s="4">
        <v>1.3586659999999999E-3</v>
      </c>
      <c r="G174" s="2">
        <v>7</v>
      </c>
      <c r="H174" s="1">
        <v>5.2756286430584498E-8</v>
      </c>
      <c r="I174" s="1">
        <v>1.7455595100260599E-5</v>
      </c>
      <c r="J174" s="3">
        <v>4.8724297920000001</v>
      </c>
      <c r="K174" s="3">
        <v>7.1964589999999997E-3</v>
      </c>
      <c r="L174" s="3">
        <v>9.0990829160000004</v>
      </c>
    </row>
    <row r="175" spans="1:12" x14ac:dyDescent="0.2">
      <c r="A175" s="2">
        <v>5</v>
      </c>
      <c r="B175" s="2">
        <v>32</v>
      </c>
      <c r="C175" s="2">
        <v>32</v>
      </c>
      <c r="D175" s="2">
        <v>74</v>
      </c>
      <c r="E175" s="4">
        <v>3.1716699999999998E-4</v>
      </c>
      <c r="F175" s="4">
        <v>1.3086249999999999E-3</v>
      </c>
      <c r="G175" s="2">
        <v>7</v>
      </c>
      <c r="H175" s="1">
        <v>5.1980236584668703E-8</v>
      </c>
      <c r="I175" s="1">
        <v>1.7661591764765701E-5</v>
      </c>
      <c r="J175" s="3">
        <v>4.8724297920000001</v>
      </c>
      <c r="K175" s="3">
        <v>7.1964589999999997E-3</v>
      </c>
      <c r="L175" s="3">
        <v>9.0990829160000004</v>
      </c>
    </row>
    <row r="176" spans="1:12" x14ac:dyDescent="0.2">
      <c r="A176" s="2">
        <v>5</v>
      </c>
      <c r="B176" s="2">
        <v>32</v>
      </c>
      <c r="C176" s="2">
        <v>32</v>
      </c>
      <c r="D176" s="2">
        <v>75</v>
      </c>
      <c r="E176" s="4">
        <v>3.3575E-4</v>
      </c>
      <c r="F176" s="4">
        <v>1.3240000000000001E-3</v>
      </c>
      <c r="G176" s="2">
        <v>7</v>
      </c>
      <c r="H176" s="1">
        <v>5.1221294627685401E-8</v>
      </c>
      <c r="I176" s="1">
        <v>1.7866692132937001E-5</v>
      </c>
      <c r="J176" s="3">
        <v>4.8724297920000001</v>
      </c>
      <c r="K176" s="3">
        <v>7.1964589999999997E-3</v>
      </c>
      <c r="L176" s="3">
        <v>9.0990829160000004</v>
      </c>
    </row>
    <row r="177" spans="1:12" x14ac:dyDescent="0.2">
      <c r="A177" s="2">
        <v>5</v>
      </c>
      <c r="B177" s="2">
        <v>32</v>
      </c>
      <c r="C177" s="2">
        <v>32</v>
      </c>
      <c r="D177" s="2">
        <v>76</v>
      </c>
      <c r="E177" s="4">
        <v>6.0962500000000003E-4</v>
      </c>
      <c r="F177" s="4">
        <v>1.3366249999999999E-3</v>
      </c>
      <c r="G177" s="2">
        <v>7</v>
      </c>
      <c r="H177" s="1">
        <v>5.0478805252277003E-8</v>
      </c>
      <c r="I177" s="1">
        <v>1.8070971972934201E-5</v>
      </c>
      <c r="J177" s="3">
        <v>4.8724297920000001</v>
      </c>
      <c r="K177" s="3">
        <v>7.1964589999999997E-3</v>
      </c>
      <c r="L177" s="3">
        <v>9.0990829160000004</v>
      </c>
    </row>
    <row r="178" spans="1:12" x14ac:dyDescent="0.2">
      <c r="A178" s="2">
        <v>5</v>
      </c>
      <c r="B178" s="2">
        <v>32</v>
      </c>
      <c r="C178" s="2">
        <v>32</v>
      </c>
      <c r="D178" s="2">
        <v>77</v>
      </c>
      <c r="E178" s="4">
        <v>2.9391600000000002E-4</v>
      </c>
      <c r="F178" s="4">
        <v>1.440375E-3</v>
      </c>
      <c r="G178" s="2">
        <v>7</v>
      </c>
      <c r="H178" s="1">
        <v>4.9752216367230701E-8</v>
      </c>
      <c r="I178" s="1">
        <v>1.8274523811168101E-5</v>
      </c>
      <c r="J178" s="3">
        <v>4.8724297920000001</v>
      </c>
      <c r="K178" s="3">
        <v>7.1964589999999997E-3</v>
      </c>
      <c r="L178" s="3">
        <v>9.0990829160000004</v>
      </c>
    </row>
    <row r="179" spans="1:12" x14ac:dyDescent="0.2">
      <c r="A179" s="2">
        <v>5</v>
      </c>
      <c r="B179" s="2">
        <v>32</v>
      </c>
      <c r="C179" s="2">
        <v>32</v>
      </c>
      <c r="D179" s="2">
        <v>78</v>
      </c>
      <c r="E179" s="4">
        <v>2.7841600000000003E-4</v>
      </c>
      <c r="F179" s="4">
        <v>1.3378750000000001E-3</v>
      </c>
      <c r="G179" s="2">
        <v>7</v>
      </c>
      <c r="H179" s="1">
        <v>4.90410425283032E-8</v>
      </c>
      <c r="I179" s="1">
        <v>1.8477447401098299E-5</v>
      </c>
      <c r="J179" s="3">
        <v>4.8724297920000001</v>
      </c>
      <c r="K179" s="3">
        <v>7.1964589999999997E-3</v>
      </c>
      <c r="L179" s="3">
        <v>9.0990829160000004</v>
      </c>
    </row>
    <row r="180" spans="1:12" x14ac:dyDescent="0.2">
      <c r="A180" s="2">
        <v>5</v>
      </c>
      <c r="B180" s="2">
        <v>32</v>
      </c>
      <c r="C180" s="2">
        <v>32</v>
      </c>
      <c r="D180" s="2">
        <v>79</v>
      </c>
      <c r="E180" s="4">
        <v>3.4191700000000001E-4</v>
      </c>
      <c r="F180" s="4">
        <v>1.344834E-3</v>
      </c>
      <c r="G180" s="2">
        <v>7</v>
      </c>
      <c r="H180" s="1">
        <v>4.8344840738024097E-8</v>
      </c>
      <c r="I180" s="1">
        <v>1.8679843114807599E-5</v>
      </c>
      <c r="J180" s="3">
        <v>4.8724297920000001</v>
      </c>
      <c r="K180" s="3">
        <v>7.1964589999999997E-3</v>
      </c>
      <c r="L180" s="3">
        <v>9.0990829160000004</v>
      </c>
    </row>
    <row r="181" spans="1:12" x14ac:dyDescent="0.2">
      <c r="A181" s="2">
        <v>5</v>
      </c>
      <c r="B181" s="2">
        <v>32</v>
      </c>
      <c r="C181" s="2">
        <v>32</v>
      </c>
      <c r="D181" s="2">
        <v>80</v>
      </c>
      <c r="E181" s="4">
        <v>4.1141700000000002E-4</v>
      </c>
      <c r="F181" s="4">
        <v>1.6557919999999999E-3</v>
      </c>
      <c r="G181" s="2">
        <v>7</v>
      </c>
      <c r="H181" s="1">
        <v>4.7663195384574498E-8</v>
      </c>
      <c r="I181" s="1">
        <v>1.8881807707877399E-5</v>
      </c>
      <c r="J181" s="3">
        <v>4.8724297920000001</v>
      </c>
      <c r="K181" s="3">
        <v>7.1964589999999997E-3</v>
      </c>
      <c r="L181" s="3">
        <v>9.0990829160000004</v>
      </c>
    </row>
    <row r="182" spans="1:12" x14ac:dyDescent="0.2">
      <c r="A182" s="2">
        <v>5</v>
      </c>
      <c r="B182" s="2">
        <v>32</v>
      </c>
      <c r="C182" s="2">
        <v>32</v>
      </c>
      <c r="D182" s="2">
        <v>81</v>
      </c>
      <c r="E182" s="4">
        <v>3.77375E-4</v>
      </c>
      <c r="F182" s="4">
        <v>1.4756249999999999E-3</v>
      </c>
      <c r="G182" s="2">
        <v>7</v>
      </c>
      <c r="H182" s="1">
        <v>4.6995709941991497E-8</v>
      </c>
      <c r="I182" s="1">
        <v>1.9083432046245599E-5</v>
      </c>
      <c r="J182" s="3">
        <v>4.8724297920000001</v>
      </c>
      <c r="K182" s="3">
        <v>7.1964589999999997E-3</v>
      </c>
      <c r="L182" s="3">
        <v>9.0990829160000004</v>
      </c>
    </row>
    <row r="183" spans="1:12" x14ac:dyDescent="0.2">
      <c r="A183" s="2">
        <v>5</v>
      </c>
      <c r="B183" s="2">
        <v>32</v>
      </c>
      <c r="C183" s="2">
        <v>32</v>
      </c>
      <c r="D183" s="2">
        <v>82</v>
      </c>
      <c r="E183" s="4">
        <v>3.90083E-4</v>
      </c>
      <c r="F183" s="4">
        <v>1.380792E-3</v>
      </c>
      <c r="G183" s="2">
        <v>7</v>
      </c>
      <c r="H183" s="1">
        <v>4.63420034351954E-8</v>
      </c>
      <c r="I183" s="1">
        <v>1.9284800387991199E-5</v>
      </c>
      <c r="J183" s="3">
        <v>4.8724297920000001</v>
      </c>
      <c r="K183" s="3">
        <v>7.1964589999999997E-3</v>
      </c>
      <c r="L183" s="3">
        <v>9.0990829160000004</v>
      </c>
    </row>
    <row r="184" spans="1:12" x14ac:dyDescent="0.2">
      <c r="A184" s="2">
        <v>5</v>
      </c>
      <c r="B184" s="2">
        <v>32</v>
      </c>
      <c r="C184" s="2">
        <v>32</v>
      </c>
      <c r="D184" s="2">
        <v>83</v>
      </c>
      <c r="E184" s="4">
        <v>2.9916699999999998E-4</v>
      </c>
      <c r="F184" s="4">
        <v>1.3422499999999999E-3</v>
      </c>
      <c r="G184" s="2">
        <v>7</v>
      </c>
      <c r="H184" s="1">
        <v>4.5701710132548402E-8</v>
      </c>
      <c r="I184" s="1">
        <v>1.9485990874132E-5</v>
      </c>
      <c r="J184" s="3">
        <v>4.8724297920000001</v>
      </c>
      <c r="K184" s="3">
        <v>7.1964589999999997E-3</v>
      </c>
      <c r="L184" s="3">
        <v>9.0990829160000004</v>
      </c>
    </row>
    <row r="185" spans="1:12" x14ac:dyDescent="0.2">
      <c r="A185" s="2">
        <v>5</v>
      </c>
      <c r="B185" s="2">
        <v>32</v>
      </c>
      <c r="C185" s="2">
        <v>32</v>
      </c>
      <c r="D185" s="2">
        <v>84</v>
      </c>
      <c r="E185" s="4">
        <v>2.7708300000000002E-4</v>
      </c>
      <c r="F185" s="4">
        <v>1.332958E-3</v>
      </c>
      <c r="G185" s="2">
        <v>7</v>
      </c>
      <c r="H185" s="1">
        <v>4.5074481008823001E-8</v>
      </c>
      <c r="I185" s="1">
        <v>1.9687076810949301E-5</v>
      </c>
      <c r="J185" s="3">
        <v>4.8724297920000001</v>
      </c>
      <c r="K185" s="3">
        <v>7.1964589999999997E-3</v>
      </c>
      <c r="L185" s="3">
        <v>9.0990829160000004</v>
      </c>
    </row>
    <row r="186" spans="1:12" x14ac:dyDescent="0.2">
      <c r="A186" s="2">
        <v>5</v>
      </c>
      <c r="B186" s="2">
        <v>32</v>
      </c>
      <c r="C186" s="2">
        <v>32</v>
      </c>
      <c r="D186" s="2">
        <v>85</v>
      </c>
      <c r="E186" s="4">
        <v>3.3E-4</v>
      </c>
      <c r="F186" s="4">
        <v>1.340541E-3</v>
      </c>
      <c r="G186" s="2">
        <v>7</v>
      </c>
      <c r="H186" s="1">
        <v>4.4459985899335201E-8</v>
      </c>
      <c r="I186" s="1">
        <v>1.9888128387471498E-5</v>
      </c>
      <c r="J186" s="3">
        <v>4.8724297920000001</v>
      </c>
      <c r="K186" s="3">
        <v>7.1964589999999997E-3</v>
      </c>
      <c r="L186" s="3">
        <v>9.0990829160000004</v>
      </c>
    </row>
    <row r="187" spans="1:12" x14ac:dyDescent="0.2">
      <c r="A187" s="2">
        <v>5</v>
      </c>
      <c r="B187" s="2">
        <v>32</v>
      </c>
      <c r="C187" s="2">
        <v>32</v>
      </c>
      <c r="D187" s="2">
        <v>86</v>
      </c>
      <c r="E187" s="4">
        <v>3.1125E-4</v>
      </c>
      <c r="F187" s="4">
        <v>1.402875E-3</v>
      </c>
      <c r="G187" s="2">
        <v>7</v>
      </c>
      <c r="H187" s="1">
        <v>4.3857915279683798E-8</v>
      </c>
      <c r="I187" s="1">
        <v>2.0089214394374101E-5</v>
      </c>
      <c r="J187" s="3">
        <v>4.8724297920000001</v>
      </c>
      <c r="K187" s="3">
        <v>7.1964589999999997E-3</v>
      </c>
      <c r="L187" s="3">
        <v>9.0990829160000004</v>
      </c>
    </row>
    <row r="188" spans="1:12" x14ac:dyDescent="0.2">
      <c r="A188" s="2">
        <v>5</v>
      </c>
      <c r="B188" s="2">
        <v>32</v>
      </c>
      <c r="C188" s="2">
        <v>32</v>
      </c>
      <c r="D188" s="2">
        <v>87</v>
      </c>
      <c r="E188" s="4">
        <v>3.8129199999999998E-4</v>
      </c>
      <c r="F188" s="4">
        <v>1.270708E-3</v>
      </c>
      <c r="G188" s="2">
        <v>7</v>
      </c>
      <c r="H188" s="1">
        <v>4.3267980977324198E-8</v>
      </c>
      <c r="I188" s="1">
        <v>2.0290403596147399E-5</v>
      </c>
      <c r="J188" s="3">
        <v>4.8724297920000001</v>
      </c>
      <c r="K188" s="3">
        <v>7.1964589999999997E-3</v>
      </c>
      <c r="L188" s="3">
        <v>9.0990829160000004</v>
      </c>
    </row>
    <row r="189" spans="1:12" x14ac:dyDescent="0.2">
      <c r="A189" s="2">
        <v>5</v>
      </c>
      <c r="B189" s="2">
        <v>32</v>
      </c>
      <c r="C189" s="2">
        <v>32</v>
      </c>
      <c r="D189" s="2">
        <v>88</v>
      </c>
      <c r="E189" s="4">
        <v>3.0808300000000001E-4</v>
      </c>
      <c r="F189" s="4">
        <v>1.3476670000000001E-3</v>
      </c>
      <c r="G189" s="2">
        <v>7</v>
      </c>
      <c r="H189" s="1">
        <v>4.26899154069968E-8</v>
      </c>
      <c r="I189" s="1">
        <v>2.0491765483172401E-5</v>
      </c>
      <c r="J189" s="3">
        <v>4.8724297920000001</v>
      </c>
      <c r="K189" s="3">
        <v>7.1964589999999997E-3</v>
      </c>
      <c r="L189" s="3">
        <v>9.0990829160000004</v>
      </c>
    </row>
    <row r="190" spans="1:12" x14ac:dyDescent="0.2">
      <c r="A190" s="2">
        <v>5</v>
      </c>
      <c r="B190" s="2">
        <v>32</v>
      </c>
      <c r="C190" s="2">
        <v>32</v>
      </c>
      <c r="D190" s="2">
        <v>89</v>
      </c>
      <c r="E190" s="4">
        <v>2.72792E-4</v>
      </c>
      <c r="F190" s="4">
        <v>1.300708E-3</v>
      </c>
      <c r="G190" s="2">
        <v>7</v>
      </c>
      <c r="H190" s="1">
        <v>4.2123469287690598E-8</v>
      </c>
      <c r="I190" s="1">
        <v>2.06933702687669E-5</v>
      </c>
      <c r="J190" s="3">
        <v>4.8724297920000001</v>
      </c>
      <c r="K190" s="3">
        <v>7.1964589999999997E-3</v>
      </c>
      <c r="L190" s="3">
        <v>9.0990829160000004</v>
      </c>
    </row>
    <row r="191" spans="1:12" x14ac:dyDescent="0.2">
      <c r="A191" s="2">
        <v>5</v>
      </c>
      <c r="B191" s="2">
        <v>32</v>
      </c>
      <c r="C191" s="2">
        <v>32</v>
      </c>
      <c r="D191" s="2">
        <v>90</v>
      </c>
      <c r="E191" s="4">
        <v>3.6658300000000002E-4</v>
      </c>
      <c r="F191" s="4">
        <v>1.7358339999999999E-3</v>
      </c>
      <c r="G191" s="2">
        <v>7</v>
      </c>
      <c r="H191" s="1">
        <v>4.1568408211134698E-8</v>
      </c>
      <c r="I191" s="1">
        <v>2.0895288192828701E-5</v>
      </c>
      <c r="J191" s="3">
        <v>4.8724297920000001</v>
      </c>
      <c r="K191" s="3">
        <v>7.1964589999999997E-3</v>
      </c>
      <c r="L191" s="3">
        <v>9.0990829160000004</v>
      </c>
    </row>
    <row r="192" spans="1:12" x14ac:dyDescent="0.2">
      <c r="A192" s="2">
        <v>5</v>
      </c>
      <c r="B192" s="2">
        <v>32</v>
      </c>
      <c r="C192" s="2">
        <v>32</v>
      </c>
      <c r="D192" s="2">
        <v>91</v>
      </c>
      <c r="E192" s="4">
        <v>3.2574999999999998E-4</v>
      </c>
      <c r="F192" s="4">
        <v>1.5570829999999999E-3</v>
      </c>
      <c r="G192" s="2">
        <v>7</v>
      </c>
      <c r="H192" s="1">
        <v>4.1024508630423998E-8</v>
      </c>
      <c r="I192" s="1">
        <v>2.1097588322793201E-5</v>
      </c>
      <c r="J192" s="3">
        <v>4.8724297920000001</v>
      </c>
      <c r="K192" s="3">
        <v>7.1964589999999997E-3</v>
      </c>
      <c r="L192" s="3">
        <v>9.0990829160000004</v>
      </c>
    </row>
    <row r="193" spans="1:12" x14ac:dyDescent="0.2">
      <c r="A193" s="2">
        <v>5</v>
      </c>
      <c r="B193" s="2">
        <v>32</v>
      </c>
      <c r="C193" s="2">
        <v>32</v>
      </c>
      <c r="D193" s="2">
        <v>92</v>
      </c>
      <c r="E193" s="4">
        <v>5.0129199999999997E-4</v>
      </c>
      <c r="F193" s="4">
        <v>7.8571249999999995E-3</v>
      </c>
      <c r="G193" s="2">
        <v>7</v>
      </c>
      <c r="H193" s="1">
        <v>4.0491553883065897E-8</v>
      </c>
      <c r="I193" s="1">
        <v>2.1300337114401199E-5</v>
      </c>
      <c r="J193" s="3">
        <v>4.8724297920000001</v>
      </c>
      <c r="K193" s="3">
        <v>7.1964589999999997E-3</v>
      </c>
      <c r="L193" s="3">
        <v>9.0990829160000004</v>
      </c>
    </row>
    <row r="194" spans="1:12" x14ac:dyDescent="0.2">
      <c r="A194" s="2">
        <v>5</v>
      </c>
      <c r="B194" s="2">
        <v>32</v>
      </c>
      <c r="C194" s="2">
        <v>32</v>
      </c>
      <c r="D194" s="2">
        <v>93</v>
      </c>
      <c r="E194" s="4">
        <v>2.9837499999999997E-4</v>
      </c>
      <c r="F194" s="4">
        <v>1.3902910000000001E-3</v>
      </c>
      <c r="G194" s="2">
        <v>7</v>
      </c>
      <c r="H194" s="1">
        <v>3.9969330830978501E-8</v>
      </c>
      <c r="I194" s="1">
        <v>2.1503597033324499E-5</v>
      </c>
      <c r="J194" s="3">
        <v>4.8724297920000001</v>
      </c>
      <c r="K194" s="3">
        <v>7.1964589999999997E-3</v>
      </c>
      <c r="L194" s="3">
        <v>9.0990829160000004</v>
      </c>
    </row>
    <row r="195" spans="1:12" x14ac:dyDescent="0.2">
      <c r="A195" s="2">
        <v>5</v>
      </c>
      <c r="B195" s="2">
        <v>32</v>
      </c>
      <c r="C195" s="2">
        <v>32</v>
      </c>
      <c r="D195" s="2">
        <v>94</v>
      </c>
      <c r="E195" s="4">
        <v>4.9383300000000005E-4</v>
      </c>
      <c r="F195" s="4">
        <v>1.4339590000000001E-3</v>
      </c>
      <c r="G195" s="2">
        <v>7</v>
      </c>
      <c r="H195" s="1">
        <v>3.9457627415862603E-8</v>
      </c>
      <c r="I195" s="1">
        <v>2.1707425438917799E-5</v>
      </c>
      <c r="J195" s="3">
        <v>4.8724297920000001</v>
      </c>
      <c r="K195" s="3">
        <v>7.1964589999999997E-3</v>
      </c>
      <c r="L195" s="3">
        <v>9.0990829160000004</v>
      </c>
    </row>
    <row r="196" spans="1:12" x14ac:dyDescent="0.2">
      <c r="A196" s="2">
        <v>5</v>
      </c>
      <c r="B196" s="2">
        <v>32</v>
      </c>
      <c r="C196" s="2">
        <v>32</v>
      </c>
      <c r="D196" s="2">
        <v>95</v>
      </c>
      <c r="E196" s="4">
        <v>3.2462499999999999E-4</v>
      </c>
      <c r="F196" s="4">
        <v>1.3393750000000001E-3</v>
      </c>
      <c r="G196" s="2">
        <v>7</v>
      </c>
      <c r="H196" s="1">
        <v>3.8956231158791003E-8</v>
      </c>
      <c r="I196" s="1">
        <v>2.1911873812146901E-5</v>
      </c>
      <c r="J196" s="3">
        <v>4.8724297920000001</v>
      </c>
      <c r="K196" s="3">
        <v>7.1964589999999997E-3</v>
      </c>
      <c r="L196" s="3">
        <v>9.0990829160000004</v>
      </c>
    </row>
    <row r="197" spans="1:12" x14ac:dyDescent="0.2">
      <c r="A197" s="2">
        <v>5</v>
      </c>
      <c r="B197" s="2">
        <v>32</v>
      </c>
      <c r="C197" s="2">
        <v>32</v>
      </c>
      <c r="D197" s="2">
        <v>96</v>
      </c>
      <c r="E197" s="4">
        <v>3.2241600000000001E-4</v>
      </c>
      <c r="F197" s="4">
        <v>1.332125E-3</v>
      </c>
      <c r="G197" s="2">
        <v>7</v>
      </c>
      <c r="H197" s="1">
        <v>3.84649285339643E-8</v>
      </c>
      <c r="I197" s="1">
        <v>2.2116987360412099E-5</v>
      </c>
      <c r="J197" s="3">
        <v>4.8724297920000001</v>
      </c>
      <c r="K197" s="3">
        <v>7.1964589999999997E-3</v>
      </c>
      <c r="L197" s="3">
        <v>9.0990829160000004</v>
      </c>
    </row>
    <row r="198" spans="1:12" x14ac:dyDescent="0.2">
      <c r="A198" s="2">
        <v>5</v>
      </c>
      <c r="B198" s="2">
        <v>32</v>
      </c>
      <c r="C198" s="2">
        <v>32</v>
      </c>
      <c r="D198" s="2">
        <v>97</v>
      </c>
      <c r="E198" s="4">
        <v>2.9183399999999998E-4</v>
      </c>
      <c r="F198" s="4">
        <v>1.3576669999999999E-3</v>
      </c>
      <c r="G198" s="2">
        <v>7</v>
      </c>
      <c r="H198" s="1">
        <v>3.7983504926302001E-8</v>
      </c>
      <c r="I198" s="1">
        <v>2.2322804900334701E-5</v>
      </c>
      <c r="J198" s="3">
        <v>4.8724297920000001</v>
      </c>
      <c r="K198" s="3">
        <v>7.1964589999999997E-3</v>
      </c>
      <c r="L198" s="3">
        <v>9.0990829160000004</v>
      </c>
    </row>
    <row r="199" spans="1:12" x14ac:dyDescent="0.2">
      <c r="A199" s="2">
        <v>5</v>
      </c>
      <c r="B199" s="2">
        <v>32</v>
      </c>
      <c r="C199" s="2">
        <v>32</v>
      </c>
      <c r="D199" s="2">
        <v>98</v>
      </c>
      <c r="E199" s="4">
        <v>2.8795900000000001E-4</v>
      </c>
      <c r="F199" s="4">
        <v>1.3758329999999999E-3</v>
      </c>
      <c r="G199" s="2">
        <v>7</v>
      </c>
      <c r="H199" s="1">
        <v>3.7511744958711399E-8</v>
      </c>
      <c r="I199" s="1">
        <v>2.2529358940043399E-5</v>
      </c>
      <c r="J199" s="3">
        <v>4.8724297920000001</v>
      </c>
      <c r="K199" s="3">
        <v>7.1964589999999997E-3</v>
      </c>
      <c r="L199" s="3">
        <v>9.0990829160000004</v>
      </c>
    </row>
    <row r="200" spans="1:12" x14ac:dyDescent="0.2">
      <c r="A200" s="2">
        <v>5</v>
      </c>
      <c r="B200" s="2">
        <v>32</v>
      </c>
      <c r="C200" s="2">
        <v>32</v>
      </c>
      <c r="D200" s="2">
        <v>99</v>
      </c>
      <c r="E200" s="4">
        <v>3.1087500000000001E-4</v>
      </c>
      <c r="F200" s="4">
        <v>1.8069589999999999E-3</v>
      </c>
      <c r="G200" s="2">
        <v>7</v>
      </c>
      <c r="H200" s="1">
        <v>3.7049432930849003E-8</v>
      </c>
      <c r="I200" s="1">
        <v>2.2736675836270699E-5</v>
      </c>
      <c r="J200" s="3">
        <v>4.8724297920000001</v>
      </c>
      <c r="K200" s="3">
        <v>7.1964589999999997E-3</v>
      </c>
      <c r="L200" s="3">
        <v>9.0990829160000004</v>
      </c>
    </row>
    <row r="201" spans="1:12" x14ac:dyDescent="0.2">
      <c r="A201" s="2">
        <v>5</v>
      </c>
      <c r="B201" s="2">
        <v>32</v>
      </c>
      <c r="C201" s="2">
        <v>32</v>
      </c>
      <c r="D201" s="2">
        <v>100</v>
      </c>
      <c r="E201" s="4">
        <v>4.3899999999999999E-4</v>
      </c>
      <c r="F201" s="4">
        <v>1.541541E-3</v>
      </c>
      <c r="G201" s="2">
        <v>7</v>
      </c>
      <c r="H201" s="1">
        <v>3.6596353283236703E-8</v>
      </c>
      <c r="I201" s="1">
        <v>2.2944775984100401E-5</v>
      </c>
      <c r="J201" s="3">
        <v>4.8724297920000001</v>
      </c>
      <c r="K201" s="3">
        <v>7.1964589999999997E-3</v>
      </c>
      <c r="L201" s="3">
        <v>9.0990829160000004</v>
      </c>
    </row>
    <row r="202" spans="1:12" x14ac:dyDescent="0.2">
      <c r="A202" s="2">
        <v>6</v>
      </c>
      <c r="B202" s="2">
        <v>64</v>
      </c>
      <c r="C202" s="2">
        <v>64</v>
      </c>
      <c r="D202" s="2">
        <v>1</v>
      </c>
      <c r="E202" s="4">
        <v>2.1845839999999998E-3</v>
      </c>
      <c r="F202" s="4">
        <v>1.353E-3</v>
      </c>
      <c r="G202" s="2">
        <v>6</v>
      </c>
      <c r="H202" s="1">
        <v>7.3628199500698801E-14</v>
      </c>
      <c r="I202" s="1">
        <v>9.0672094481390599E-15</v>
      </c>
      <c r="J202" s="3">
        <v>5.2271198329999997</v>
      </c>
      <c r="K202" s="3">
        <v>2.5712875E-2</v>
      </c>
      <c r="L202" s="3">
        <v>11.674028709</v>
      </c>
    </row>
    <row r="203" spans="1:12" x14ac:dyDescent="0.2">
      <c r="A203" s="2">
        <v>6</v>
      </c>
      <c r="B203" s="2">
        <v>64</v>
      </c>
      <c r="C203" s="2">
        <v>64</v>
      </c>
      <c r="D203" s="2">
        <v>2</v>
      </c>
      <c r="E203" s="4">
        <v>2.7135000000000002E-3</v>
      </c>
      <c r="F203" s="4">
        <v>2.0032499999999998E-3</v>
      </c>
      <c r="G203" s="2">
        <v>10</v>
      </c>
      <c r="H203" s="1">
        <v>4.2250329011957302E-14</v>
      </c>
      <c r="I203" s="1">
        <v>1.47032016662836E-14</v>
      </c>
      <c r="J203" s="3">
        <v>5.2271198329999997</v>
      </c>
      <c r="K203" s="3">
        <v>2.5712875E-2</v>
      </c>
      <c r="L203" s="3">
        <v>11.674028709</v>
      </c>
    </row>
    <row r="204" spans="1:12" x14ac:dyDescent="0.2">
      <c r="A204" s="2">
        <v>6</v>
      </c>
      <c r="B204" s="2">
        <v>64</v>
      </c>
      <c r="C204" s="2">
        <v>64</v>
      </c>
      <c r="D204" s="2">
        <v>3</v>
      </c>
      <c r="E204" s="4">
        <v>2.5337910000000001E-3</v>
      </c>
      <c r="F204" s="4">
        <v>1.838917E-3</v>
      </c>
      <c r="G204" s="2">
        <v>14</v>
      </c>
      <c r="H204" s="1">
        <v>2.41821770085397E-14</v>
      </c>
      <c r="I204" s="1">
        <v>1.6878013178497899E-14</v>
      </c>
      <c r="J204" s="3">
        <v>5.2271198329999997</v>
      </c>
      <c r="K204" s="3">
        <v>2.5712875E-2</v>
      </c>
      <c r="L204" s="3">
        <v>11.674028709</v>
      </c>
    </row>
    <row r="205" spans="1:12" x14ac:dyDescent="0.2">
      <c r="A205" s="2">
        <v>6</v>
      </c>
      <c r="B205" s="2">
        <v>64</v>
      </c>
      <c r="C205" s="2">
        <v>64</v>
      </c>
      <c r="D205" s="2">
        <v>4</v>
      </c>
      <c r="E205" s="4">
        <v>2.3998330000000001E-3</v>
      </c>
      <c r="F205" s="4">
        <v>2.076208E-3</v>
      </c>
      <c r="G205" s="2">
        <v>14</v>
      </c>
      <c r="H205" s="1">
        <v>9.5857453775273603E-7</v>
      </c>
      <c r="I205" s="1">
        <v>1.10948099675193E-6</v>
      </c>
      <c r="J205" s="3">
        <v>5.2271198329999997</v>
      </c>
      <c r="K205" s="3">
        <v>2.5712875E-2</v>
      </c>
      <c r="L205" s="3">
        <v>11.674028709</v>
      </c>
    </row>
    <row r="206" spans="1:12" x14ac:dyDescent="0.2">
      <c r="A206" s="2">
        <v>6</v>
      </c>
      <c r="B206" s="2">
        <v>64</v>
      </c>
      <c r="C206" s="2">
        <v>64</v>
      </c>
      <c r="D206" s="2">
        <v>5</v>
      </c>
      <c r="E206" s="4">
        <v>2.5087500000000001E-3</v>
      </c>
      <c r="F206" s="4">
        <v>1.9815420000000002E-3</v>
      </c>
      <c r="G206" s="2">
        <v>15</v>
      </c>
      <c r="H206" s="1">
        <v>8.5233096403353198E-7</v>
      </c>
      <c r="I206" s="1">
        <v>1.4442544458445801E-6</v>
      </c>
      <c r="J206" s="3">
        <v>5.2271198329999997</v>
      </c>
      <c r="K206" s="3">
        <v>2.5712875E-2</v>
      </c>
      <c r="L206" s="3">
        <v>11.674028709</v>
      </c>
    </row>
    <row r="207" spans="1:12" x14ac:dyDescent="0.2">
      <c r="A207" s="2">
        <v>6</v>
      </c>
      <c r="B207" s="2">
        <v>64</v>
      </c>
      <c r="C207" s="2">
        <v>64</v>
      </c>
      <c r="D207" s="2">
        <v>6</v>
      </c>
      <c r="E207" s="4">
        <v>2.4034170000000001E-3</v>
      </c>
      <c r="F207" s="4">
        <v>2.0699999999999998E-3</v>
      </c>
      <c r="G207" s="2">
        <v>15</v>
      </c>
      <c r="H207" s="1">
        <v>8.3573349312645699E-7</v>
      </c>
      <c r="I207" s="1">
        <v>1.8738111228128099E-6</v>
      </c>
      <c r="J207" s="3">
        <v>5.2271198329999997</v>
      </c>
      <c r="K207" s="3">
        <v>2.5712875E-2</v>
      </c>
      <c r="L207" s="3">
        <v>11.674028709</v>
      </c>
    </row>
    <row r="208" spans="1:12" x14ac:dyDescent="0.2">
      <c r="A208" s="2">
        <v>6</v>
      </c>
      <c r="B208" s="2">
        <v>64</v>
      </c>
      <c r="C208" s="2">
        <v>64</v>
      </c>
      <c r="D208" s="2">
        <v>7</v>
      </c>
      <c r="E208" s="4">
        <v>2.1847500000000001E-3</v>
      </c>
      <c r="F208" s="4">
        <v>1.9469579999999999E-3</v>
      </c>
      <c r="G208" s="2">
        <v>15</v>
      </c>
      <c r="H208" s="1">
        <v>9.3829244907702103E-7</v>
      </c>
      <c r="I208" s="1">
        <v>2.5906375337854298E-6</v>
      </c>
      <c r="J208" s="3">
        <v>5.2271198329999997</v>
      </c>
      <c r="K208" s="3">
        <v>2.5712875E-2</v>
      </c>
      <c r="L208" s="3">
        <v>11.674028709</v>
      </c>
    </row>
    <row r="209" spans="1:12" x14ac:dyDescent="0.2">
      <c r="A209" s="2">
        <v>6</v>
      </c>
      <c r="B209" s="2">
        <v>64</v>
      </c>
      <c r="C209" s="2">
        <v>64</v>
      </c>
      <c r="D209" s="2">
        <v>8</v>
      </c>
      <c r="E209" s="4">
        <v>2.4407500000000002E-3</v>
      </c>
      <c r="F209" s="4">
        <v>2.137875E-3</v>
      </c>
      <c r="G209" s="2">
        <v>15</v>
      </c>
      <c r="H209" s="1">
        <v>8.38910780686294E-7</v>
      </c>
      <c r="I209" s="1">
        <v>2.7326685765724698E-6</v>
      </c>
      <c r="J209" s="3">
        <v>5.2271198329999997</v>
      </c>
      <c r="K209" s="3">
        <v>2.5712875E-2</v>
      </c>
      <c r="L209" s="3">
        <v>11.674028709</v>
      </c>
    </row>
    <row r="210" spans="1:12" x14ac:dyDescent="0.2">
      <c r="A210" s="2">
        <v>6</v>
      </c>
      <c r="B210" s="2">
        <v>64</v>
      </c>
      <c r="C210" s="2">
        <v>64</v>
      </c>
      <c r="D210" s="2">
        <v>9</v>
      </c>
      <c r="E210" s="4">
        <v>2.6884159999999999E-3</v>
      </c>
      <c r="F210" s="4">
        <v>2.0777500000000002E-3</v>
      </c>
      <c r="G210" s="2">
        <v>15</v>
      </c>
      <c r="H210" s="1">
        <v>7.4370924597332497E-7</v>
      </c>
      <c r="I210" s="1">
        <v>2.7922551832782898E-6</v>
      </c>
      <c r="J210" s="3">
        <v>5.2271198329999997</v>
      </c>
      <c r="K210" s="3">
        <v>2.5712875E-2</v>
      </c>
      <c r="L210" s="3">
        <v>11.674028709</v>
      </c>
    </row>
    <row r="211" spans="1:12" x14ac:dyDescent="0.2">
      <c r="A211" s="2">
        <v>6</v>
      </c>
      <c r="B211" s="2">
        <v>64</v>
      </c>
      <c r="C211" s="2">
        <v>64</v>
      </c>
      <c r="D211" s="2">
        <v>10</v>
      </c>
      <c r="E211" s="4">
        <v>2.3975419999999999E-3</v>
      </c>
      <c r="F211" s="4">
        <v>2.2622499999999999E-3</v>
      </c>
      <c r="G211" s="2">
        <v>15</v>
      </c>
      <c r="H211" s="1">
        <v>6.3821818651968001E-7</v>
      </c>
      <c r="I211" s="1">
        <v>2.72709296508711E-6</v>
      </c>
      <c r="J211" s="3">
        <v>5.2271198329999997</v>
      </c>
      <c r="K211" s="3">
        <v>2.5712875E-2</v>
      </c>
      <c r="L211" s="3">
        <v>11.674028709</v>
      </c>
    </row>
    <row r="212" spans="1:12" x14ac:dyDescent="0.2">
      <c r="A212" s="2">
        <v>6</v>
      </c>
      <c r="B212" s="2">
        <v>64</v>
      </c>
      <c r="C212" s="2">
        <v>64</v>
      </c>
      <c r="D212" s="2">
        <v>11</v>
      </c>
      <c r="E212" s="4">
        <v>2.4264159999999998E-3</v>
      </c>
      <c r="F212" s="4">
        <v>2.0131670000000002E-3</v>
      </c>
      <c r="G212" s="2">
        <v>15</v>
      </c>
      <c r="H212" s="1">
        <v>6.1343074666422202E-7</v>
      </c>
      <c r="I212" s="1">
        <v>2.9612845642973198E-6</v>
      </c>
      <c r="J212" s="3">
        <v>5.2271198329999997</v>
      </c>
      <c r="K212" s="3">
        <v>2.5712875E-2</v>
      </c>
      <c r="L212" s="3">
        <v>11.674028709</v>
      </c>
    </row>
    <row r="213" spans="1:12" x14ac:dyDescent="0.2">
      <c r="A213" s="2">
        <v>6</v>
      </c>
      <c r="B213" s="2">
        <v>64</v>
      </c>
      <c r="C213" s="2">
        <v>64</v>
      </c>
      <c r="D213" s="2">
        <v>12</v>
      </c>
      <c r="E213" s="4">
        <v>2.226334E-3</v>
      </c>
      <c r="F213" s="4">
        <v>2.0149579999999999E-3</v>
      </c>
      <c r="G213" s="2">
        <v>15</v>
      </c>
      <c r="H213" s="1">
        <v>5.2933699199518705E-7</v>
      </c>
      <c r="I213" s="1">
        <v>2.87324288164612E-6</v>
      </c>
      <c r="J213" s="3">
        <v>5.2271198329999997</v>
      </c>
      <c r="K213" s="3">
        <v>2.5712875E-2</v>
      </c>
      <c r="L213" s="3">
        <v>11.674028709</v>
      </c>
    </row>
    <row r="214" spans="1:12" x14ac:dyDescent="0.2">
      <c r="A214" s="2">
        <v>6</v>
      </c>
      <c r="B214" s="2">
        <v>64</v>
      </c>
      <c r="C214" s="2">
        <v>64</v>
      </c>
      <c r="D214" s="2">
        <v>13</v>
      </c>
      <c r="E214" s="4">
        <v>2.293958E-3</v>
      </c>
      <c r="F214" s="4">
        <v>1.9130410000000001E-3</v>
      </c>
      <c r="G214" s="2">
        <v>15</v>
      </c>
      <c r="H214" s="1">
        <v>4.8210156897237199E-7</v>
      </c>
      <c r="I214" s="1">
        <v>2.9323833088304799E-6</v>
      </c>
      <c r="J214" s="3">
        <v>5.2271198329999997</v>
      </c>
      <c r="K214" s="3">
        <v>2.5712875E-2</v>
      </c>
      <c r="L214" s="3">
        <v>11.674028709</v>
      </c>
    </row>
    <row r="215" spans="1:12" x14ac:dyDescent="0.2">
      <c r="A215" s="2">
        <v>6</v>
      </c>
      <c r="B215" s="2">
        <v>64</v>
      </c>
      <c r="C215" s="2">
        <v>64</v>
      </c>
      <c r="D215" s="2">
        <v>14</v>
      </c>
      <c r="E215" s="4">
        <v>2.5145829999999999E-3</v>
      </c>
      <c r="F215" s="4">
        <v>2.296125E-3</v>
      </c>
      <c r="G215" s="2">
        <v>14</v>
      </c>
      <c r="H215" s="1">
        <v>4.8277560029007603E-7</v>
      </c>
      <c r="I215" s="1">
        <v>3.2816335105626601E-6</v>
      </c>
      <c r="J215" s="3">
        <v>5.2271198329999997</v>
      </c>
      <c r="K215" s="3">
        <v>2.5712875E-2</v>
      </c>
      <c r="L215" s="3">
        <v>11.674028709</v>
      </c>
    </row>
    <row r="216" spans="1:12" x14ac:dyDescent="0.2">
      <c r="A216" s="2">
        <v>6</v>
      </c>
      <c r="B216" s="2">
        <v>64</v>
      </c>
      <c r="C216" s="2">
        <v>64</v>
      </c>
      <c r="D216" s="2">
        <v>15</v>
      </c>
      <c r="E216" s="4">
        <v>2.3378330000000001E-3</v>
      </c>
      <c r="F216" s="4">
        <v>2.0568330000000001E-3</v>
      </c>
      <c r="G216" s="2">
        <v>14</v>
      </c>
      <c r="H216" s="1">
        <v>4.3750925185669102E-7</v>
      </c>
      <c r="I216" s="1">
        <v>3.31575924971905E-6</v>
      </c>
      <c r="J216" s="3">
        <v>5.2271198329999997</v>
      </c>
      <c r="K216" s="3">
        <v>2.5712875E-2</v>
      </c>
      <c r="L216" s="3">
        <v>11.674028709</v>
      </c>
    </row>
    <row r="217" spans="1:12" x14ac:dyDescent="0.2">
      <c r="A217" s="2">
        <v>6</v>
      </c>
      <c r="B217" s="2">
        <v>64</v>
      </c>
      <c r="C217" s="2">
        <v>64</v>
      </c>
      <c r="D217" s="2">
        <v>16</v>
      </c>
      <c r="E217" s="4">
        <v>2.2359160000000001E-3</v>
      </c>
      <c r="F217" s="4">
        <v>1.9910420000000002E-3</v>
      </c>
      <c r="G217" s="2">
        <v>14</v>
      </c>
      <c r="H217" s="1">
        <v>4.0597708558776199E-7</v>
      </c>
      <c r="I217" s="1">
        <v>3.4232015011730699E-6</v>
      </c>
      <c r="J217" s="3">
        <v>5.2271198329999997</v>
      </c>
      <c r="K217" s="3">
        <v>2.5712875E-2</v>
      </c>
      <c r="L217" s="3">
        <v>11.674028709</v>
      </c>
    </row>
    <row r="218" spans="1:12" x14ac:dyDescent="0.2">
      <c r="A218" s="2">
        <v>6</v>
      </c>
      <c r="B218" s="2">
        <v>64</v>
      </c>
      <c r="C218" s="2">
        <v>64</v>
      </c>
      <c r="D218" s="2">
        <v>17</v>
      </c>
      <c r="E218" s="4">
        <v>2.5427079999999999E-3</v>
      </c>
      <c r="F218" s="4">
        <v>2.1849999999999999E-3</v>
      </c>
      <c r="G218" s="2">
        <v>14</v>
      </c>
      <c r="H218" s="1">
        <v>3.8437571726999798E-7</v>
      </c>
      <c r="I218" s="1">
        <v>3.59882939814711E-6</v>
      </c>
      <c r="J218" s="3">
        <v>5.2271198329999997</v>
      </c>
      <c r="K218" s="3">
        <v>2.5712875E-2</v>
      </c>
      <c r="L218" s="3">
        <v>11.674028709</v>
      </c>
    </row>
    <row r="219" spans="1:12" x14ac:dyDescent="0.2">
      <c r="A219" s="2">
        <v>6</v>
      </c>
      <c r="B219" s="2">
        <v>64</v>
      </c>
      <c r="C219" s="2">
        <v>64</v>
      </c>
      <c r="D219" s="2">
        <v>18</v>
      </c>
      <c r="E219" s="4">
        <v>2.328292E-3</v>
      </c>
      <c r="F219" s="4">
        <v>1.9751249999999999E-3</v>
      </c>
      <c r="G219" s="2">
        <v>14</v>
      </c>
      <c r="H219" s="1">
        <v>3.6779708969067E-7</v>
      </c>
      <c r="I219" s="1">
        <v>3.8164322354526304E-6</v>
      </c>
      <c r="J219" s="3">
        <v>5.2271198329999997</v>
      </c>
      <c r="K219" s="3">
        <v>2.5712875E-2</v>
      </c>
      <c r="L219" s="3">
        <v>11.674028709</v>
      </c>
    </row>
    <row r="220" spans="1:12" x14ac:dyDescent="0.2">
      <c r="A220" s="2">
        <v>6</v>
      </c>
      <c r="B220" s="2">
        <v>64</v>
      </c>
      <c r="C220" s="2">
        <v>64</v>
      </c>
      <c r="D220" s="2">
        <v>19</v>
      </c>
      <c r="E220" s="4">
        <v>2.4931670000000001E-3</v>
      </c>
      <c r="F220" s="4">
        <v>1.9711659999999999E-3</v>
      </c>
      <c r="G220" s="2">
        <v>14</v>
      </c>
      <c r="H220" s="1">
        <v>3.5393864510814198E-7</v>
      </c>
      <c r="I220" s="1">
        <v>4.0626146216118596E-6</v>
      </c>
      <c r="J220" s="3">
        <v>5.2271198329999997</v>
      </c>
      <c r="K220" s="3">
        <v>2.5712875E-2</v>
      </c>
      <c r="L220" s="3">
        <v>11.674028709</v>
      </c>
    </row>
    <row r="221" spans="1:12" x14ac:dyDescent="0.2">
      <c r="A221" s="2">
        <v>6</v>
      </c>
      <c r="B221" s="2">
        <v>64</v>
      </c>
      <c r="C221" s="2">
        <v>64</v>
      </c>
      <c r="D221" s="2">
        <v>20</v>
      </c>
      <c r="E221" s="4">
        <v>2.374625E-3</v>
      </c>
      <c r="F221" s="4">
        <v>1.1969458000000001E-2</v>
      </c>
      <c r="G221" s="2">
        <v>13</v>
      </c>
      <c r="H221" s="1">
        <v>3.6386440769326399E-7</v>
      </c>
      <c r="I221" s="1">
        <v>4.6114200659386301E-6</v>
      </c>
      <c r="J221" s="3">
        <v>5.2271198329999997</v>
      </c>
      <c r="K221" s="3">
        <v>2.5712875E-2</v>
      </c>
      <c r="L221" s="3">
        <v>11.674028709</v>
      </c>
    </row>
    <row r="222" spans="1:12" x14ac:dyDescent="0.2">
      <c r="A222" s="2">
        <v>6</v>
      </c>
      <c r="B222" s="2">
        <v>64</v>
      </c>
      <c r="C222" s="2">
        <v>64</v>
      </c>
      <c r="D222" s="2">
        <v>21</v>
      </c>
      <c r="E222" s="4">
        <v>2.2058749999999999E-3</v>
      </c>
      <c r="F222" s="4">
        <v>2.081959E-3</v>
      </c>
      <c r="G222" s="2">
        <v>12</v>
      </c>
      <c r="H222" s="1">
        <v>3.4666121320236699E-7</v>
      </c>
      <c r="I222" s="1">
        <v>4.8417773784473696E-6</v>
      </c>
      <c r="J222" s="3">
        <v>5.2271198329999997</v>
      </c>
      <c r="K222" s="3">
        <v>2.5712875E-2</v>
      </c>
      <c r="L222" s="3">
        <v>11.674028709</v>
      </c>
    </row>
    <row r="223" spans="1:12" x14ac:dyDescent="0.2">
      <c r="A223" s="2">
        <v>6</v>
      </c>
      <c r="B223" s="2">
        <v>64</v>
      </c>
      <c r="C223" s="2">
        <v>64</v>
      </c>
      <c r="D223" s="2">
        <v>22</v>
      </c>
      <c r="E223" s="4">
        <v>2.4081670000000001E-3</v>
      </c>
      <c r="F223" s="4">
        <v>1.8830419999999999E-3</v>
      </c>
      <c r="G223" s="2">
        <v>12</v>
      </c>
      <c r="H223" s="1">
        <v>3.2958013123974697E-7</v>
      </c>
      <c r="I223" s="1">
        <v>5.0634378727765198E-6</v>
      </c>
      <c r="J223" s="3">
        <v>5.2271198329999997</v>
      </c>
      <c r="K223" s="3">
        <v>2.5712875E-2</v>
      </c>
      <c r="L223" s="3">
        <v>11.674028709</v>
      </c>
    </row>
    <row r="224" spans="1:12" x14ac:dyDescent="0.2">
      <c r="A224" s="2">
        <v>6</v>
      </c>
      <c r="B224" s="2">
        <v>64</v>
      </c>
      <c r="C224" s="2">
        <v>64</v>
      </c>
      <c r="D224" s="2">
        <v>23</v>
      </c>
      <c r="E224" s="4">
        <v>2.343917E-3</v>
      </c>
      <c r="F224" s="4">
        <v>1.8372079999999999E-3</v>
      </c>
      <c r="G224" s="2">
        <v>12</v>
      </c>
      <c r="H224" s="1">
        <v>3.1701538262742599E-7</v>
      </c>
      <c r="I224" s="1">
        <v>5.3471308198341497E-6</v>
      </c>
      <c r="J224" s="3">
        <v>5.2271198329999997</v>
      </c>
      <c r="K224" s="3">
        <v>2.5712875E-2</v>
      </c>
      <c r="L224" s="3">
        <v>11.674028709</v>
      </c>
    </row>
    <row r="225" spans="1:12" x14ac:dyDescent="0.2">
      <c r="A225" s="2">
        <v>6</v>
      </c>
      <c r="B225" s="2">
        <v>64</v>
      </c>
      <c r="C225" s="2">
        <v>64</v>
      </c>
      <c r="D225" s="2">
        <v>24</v>
      </c>
      <c r="E225" s="4">
        <v>2.1939160000000002E-3</v>
      </c>
      <c r="F225" s="4">
        <v>1.8732079999999999E-3</v>
      </c>
      <c r="G225" s="2">
        <v>12</v>
      </c>
      <c r="H225" s="1">
        <v>3.06786398663349E-7</v>
      </c>
      <c r="I225" s="1">
        <v>5.6701274797486496E-6</v>
      </c>
      <c r="J225" s="3">
        <v>5.2271198329999997</v>
      </c>
      <c r="K225" s="3">
        <v>2.5712875E-2</v>
      </c>
      <c r="L225" s="3">
        <v>11.674028709</v>
      </c>
    </row>
    <row r="226" spans="1:12" x14ac:dyDescent="0.2">
      <c r="A226" s="2">
        <v>6</v>
      </c>
      <c r="B226" s="2">
        <v>64</v>
      </c>
      <c r="C226" s="2">
        <v>64</v>
      </c>
      <c r="D226" s="2">
        <v>25</v>
      </c>
      <c r="E226" s="4">
        <v>2.63525E-3</v>
      </c>
      <c r="F226" s="4">
        <v>1.8413749999999999E-3</v>
      </c>
      <c r="G226" s="2">
        <v>12</v>
      </c>
      <c r="H226" s="1">
        <v>2.9796054711221898E-7</v>
      </c>
      <c r="I226" s="1">
        <v>6.0225515764537999E-6</v>
      </c>
      <c r="J226" s="3">
        <v>5.2271198329999997</v>
      </c>
      <c r="K226" s="3">
        <v>2.5712875E-2</v>
      </c>
      <c r="L226" s="3">
        <v>11.674028709</v>
      </c>
    </row>
    <row r="227" spans="1:12" x14ac:dyDescent="0.2">
      <c r="A227" s="2">
        <v>6</v>
      </c>
      <c r="B227" s="2">
        <v>64</v>
      </c>
      <c r="C227" s="2">
        <v>64</v>
      </c>
      <c r="D227" s="2">
        <v>26</v>
      </c>
      <c r="E227" s="4">
        <v>2.1637079999999999E-3</v>
      </c>
      <c r="F227" s="4">
        <v>1.891792E-3</v>
      </c>
      <c r="G227" s="2">
        <v>12</v>
      </c>
      <c r="H227" s="1">
        <v>2.9006742645853899E-7</v>
      </c>
      <c r="I227" s="1">
        <v>6.39916521517321E-6</v>
      </c>
      <c r="J227" s="3">
        <v>5.2271198329999997</v>
      </c>
      <c r="K227" s="3">
        <v>2.5712875E-2</v>
      </c>
      <c r="L227" s="3">
        <v>11.674028709</v>
      </c>
    </row>
    <row r="228" spans="1:12" x14ac:dyDescent="0.2">
      <c r="A228" s="2">
        <v>6</v>
      </c>
      <c r="B228" s="2">
        <v>64</v>
      </c>
      <c r="C228" s="2">
        <v>64</v>
      </c>
      <c r="D228" s="2">
        <v>27</v>
      </c>
      <c r="E228" s="4">
        <v>2.4811669999999998E-3</v>
      </c>
      <c r="F228" s="4">
        <v>1.0265625E-2</v>
      </c>
      <c r="G228" s="2">
        <v>12</v>
      </c>
      <c r="H228" s="1">
        <v>2.8283471437988702E-7</v>
      </c>
      <c r="I228" s="1">
        <v>6.7965233334203798E-6</v>
      </c>
      <c r="J228" s="3">
        <v>5.2271198329999997</v>
      </c>
      <c r="K228" s="3">
        <v>2.5712875E-2</v>
      </c>
      <c r="L228" s="3">
        <v>11.674028709</v>
      </c>
    </row>
    <row r="229" spans="1:12" x14ac:dyDescent="0.2">
      <c r="A229" s="2">
        <v>6</v>
      </c>
      <c r="B229" s="2">
        <v>64</v>
      </c>
      <c r="C229" s="2">
        <v>64</v>
      </c>
      <c r="D229" s="2">
        <v>28</v>
      </c>
      <c r="E229" s="4">
        <v>2.2754590000000001E-3</v>
      </c>
      <c r="F229" s="4">
        <v>1.9405E-3</v>
      </c>
      <c r="G229" s="2">
        <v>11</v>
      </c>
      <c r="H229" s="1">
        <v>2.7770598399321898E-7</v>
      </c>
      <c r="I229" s="1">
        <v>7.2541603088001102E-6</v>
      </c>
      <c r="J229" s="3">
        <v>5.2271198329999997</v>
      </c>
      <c r="K229" s="3">
        <v>2.5712875E-2</v>
      </c>
      <c r="L229" s="3">
        <v>11.674028709</v>
      </c>
    </row>
    <row r="230" spans="1:12" x14ac:dyDescent="0.2">
      <c r="A230" s="2">
        <v>6</v>
      </c>
      <c r="B230" s="2">
        <v>64</v>
      </c>
      <c r="C230" s="2">
        <v>64</v>
      </c>
      <c r="D230" s="2">
        <v>29</v>
      </c>
      <c r="E230" s="4">
        <v>2.2187919999999998E-3</v>
      </c>
      <c r="F230" s="4">
        <v>1.885292E-3</v>
      </c>
      <c r="G230" s="2">
        <v>11</v>
      </c>
      <c r="H230" s="1">
        <v>2.7041592652052102E-7</v>
      </c>
      <c r="I230" s="1">
        <v>7.6628927396564801E-6</v>
      </c>
      <c r="J230" s="3">
        <v>5.2271198329999997</v>
      </c>
      <c r="K230" s="3">
        <v>2.5712875E-2</v>
      </c>
      <c r="L230" s="3">
        <v>11.674028709</v>
      </c>
    </row>
    <row r="231" spans="1:12" x14ac:dyDescent="0.2">
      <c r="A231" s="2">
        <v>6</v>
      </c>
      <c r="B231" s="2">
        <v>64</v>
      </c>
      <c r="C231" s="2">
        <v>64</v>
      </c>
      <c r="D231" s="2">
        <v>30</v>
      </c>
      <c r="E231" s="4">
        <v>2.228875E-3</v>
      </c>
      <c r="F231" s="4">
        <v>1.8942500000000001E-3</v>
      </c>
      <c r="G231" s="2">
        <v>11</v>
      </c>
      <c r="H231" s="1">
        <v>2.64009941333854E-7</v>
      </c>
      <c r="I231" s="1">
        <v>8.0992509895601002E-6</v>
      </c>
      <c r="J231" s="3">
        <v>5.2271198329999997</v>
      </c>
      <c r="K231" s="3">
        <v>2.5712875E-2</v>
      </c>
      <c r="L231" s="3">
        <v>11.674028709</v>
      </c>
    </row>
    <row r="232" spans="1:12" x14ac:dyDescent="0.2">
      <c r="A232" s="2">
        <v>6</v>
      </c>
      <c r="B232" s="2">
        <v>64</v>
      </c>
      <c r="C232" s="2">
        <v>64</v>
      </c>
      <c r="D232" s="2">
        <v>31</v>
      </c>
      <c r="E232" s="4">
        <v>2.4978330000000001E-3</v>
      </c>
      <c r="F232" s="4">
        <v>1.8931250000000001E-3</v>
      </c>
      <c r="G232" s="2">
        <v>11</v>
      </c>
      <c r="H232" s="1">
        <v>2.5814620104630099E-7</v>
      </c>
      <c r="I232" s="1">
        <v>8.5557294312294602E-6</v>
      </c>
      <c r="J232" s="3">
        <v>5.2271198329999997</v>
      </c>
      <c r="K232" s="3">
        <v>2.5712875E-2</v>
      </c>
      <c r="L232" s="3">
        <v>11.674028709</v>
      </c>
    </row>
    <row r="233" spans="1:12" x14ac:dyDescent="0.2">
      <c r="A233" s="2">
        <v>6</v>
      </c>
      <c r="B233" s="2">
        <v>64</v>
      </c>
      <c r="C233" s="2">
        <v>64</v>
      </c>
      <c r="D233" s="2">
        <v>32</v>
      </c>
      <c r="E233" s="4">
        <v>2.3981250000000001E-3</v>
      </c>
      <c r="F233" s="4">
        <v>1.8590830000000001E-3</v>
      </c>
      <c r="G233" s="2">
        <v>10</v>
      </c>
      <c r="H233" s="1">
        <v>2.5496971986293599E-7</v>
      </c>
      <c r="I233" s="1">
        <v>9.1106399028683093E-6</v>
      </c>
      <c r="J233" s="3">
        <v>5.2271198329999997</v>
      </c>
      <c r="K233" s="3">
        <v>2.5712875E-2</v>
      </c>
      <c r="L233" s="3">
        <v>11.674028709</v>
      </c>
    </row>
    <row r="234" spans="1:12" x14ac:dyDescent="0.2">
      <c r="A234" s="2">
        <v>6</v>
      </c>
      <c r="B234" s="2">
        <v>64</v>
      </c>
      <c r="C234" s="2">
        <v>64</v>
      </c>
      <c r="D234" s="2">
        <v>33</v>
      </c>
      <c r="E234" s="4">
        <v>6.0160839999999997E-3</v>
      </c>
      <c r="F234" s="4">
        <v>2.172916E-3</v>
      </c>
      <c r="G234" s="2">
        <v>10</v>
      </c>
      <c r="H234" s="1">
        <v>2.4974331253841301E-7</v>
      </c>
      <c r="I234" s="1">
        <v>9.6012460051529093E-6</v>
      </c>
      <c r="J234" s="3">
        <v>5.2271198329999997</v>
      </c>
      <c r="K234" s="3">
        <v>2.5712875E-2</v>
      </c>
      <c r="L234" s="3">
        <v>11.674028709</v>
      </c>
    </row>
    <row r="235" spans="1:12" x14ac:dyDescent="0.2">
      <c r="A235" s="2">
        <v>6</v>
      </c>
      <c r="B235" s="2">
        <v>64</v>
      </c>
      <c r="C235" s="2">
        <v>64</v>
      </c>
      <c r="D235" s="2">
        <v>34</v>
      </c>
      <c r="E235" s="4">
        <v>2.348625E-3</v>
      </c>
      <c r="F235" s="4">
        <v>1.8873749999999999E-3</v>
      </c>
      <c r="G235" s="2">
        <v>10</v>
      </c>
      <c r="H235" s="1">
        <v>2.43799399686351E-7</v>
      </c>
      <c r="I235" s="1">
        <v>1.00635038096937E-5</v>
      </c>
      <c r="J235" s="3">
        <v>5.2271198329999997</v>
      </c>
      <c r="K235" s="3">
        <v>2.5712875E-2</v>
      </c>
      <c r="L235" s="3">
        <v>11.674028709</v>
      </c>
    </row>
    <row r="236" spans="1:12" x14ac:dyDescent="0.2">
      <c r="A236" s="2">
        <v>6</v>
      </c>
      <c r="B236" s="2">
        <v>64</v>
      </c>
      <c r="C236" s="2">
        <v>64</v>
      </c>
      <c r="D236" s="2">
        <v>35</v>
      </c>
      <c r="E236" s="4">
        <v>2.4928749999999999E-3</v>
      </c>
      <c r="F236" s="4">
        <v>1.904708E-3</v>
      </c>
      <c r="G236" s="2">
        <v>10</v>
      </c>
      <c r="H236" s="1">
        <v>2.38303410875378E-7</v>
      </c>
      <c r="I236" s="1">
        <v>1.0540147315841499E-5</v>
      </c>
      <c r="J236" s="3">
        <v>5.2271198329999997</v>
      </c>
      <c r="K236" s="3">
        <v>2.5712875E-2</v>
      </c>
      <c r="L236" s="3">
        <v>11.674028709</v>
      </c>
    </row>
    <row r="237" spans="1:12" x14ac:dyDescent="0.2">
      <c r="A237" s="2">
        <v>6</v>
      </c>
      <c r="B237" s="2">
        <v>64</v>
      </c>
      <c r="C237" s="2">
        <v>64</v>
      </c>
      <c r="D237" s="2">
        <v>36</v>
      </c>
      <c r="E237" s="4">
        <v>2.188167E-3</v>
      </c>
      <c r="F237" s="4">
        <v>1.893792E-3</v>
      </c>
      <c r="G237" s="2">
        <v>10</v>
      </c>
      <c r="H237" s="1">
        <v>2.33155254908807E-7</v>
      </c>
      <c r="I237" s="1">
        <v>1.1027794300911001E-5</v>
      </c>
      <c r="J237" s="3">
        <v>5.2271198329999997</v>
      </c>
      <c r="K237" s="3">
        <v>2.5712875E-2</v>
      </c>
      <c r="L237" s="3">
        <v>11.674028709</v>
      </c>
    </row>
    <row r="238" spans="1:12" x14ac:dyDescent="0.2">
      <c r="A238" s="2">
        <v>6</v>
      </c>
      <c r="B238" s="2">
        <v>64</v>
      </c>
      <c r="C238" s="2">
        <v>64</v>
      </c>
      <c r="D238" s="2">
        <v>37</v>
      </c>
      <c r="E238" s="4">
        <v>2.1965000000000001E-3</v>
      </c>
      <c r="F238" s="4">
        <v>1.8675E-3</v>
      </c>
      <c r="G238" s="2">
        <v>10</v>
      </c>
      <c r="H238" s="1">
        <v>2.2828818745169599E-7</v>
      </c>
      <c r="I238" s="1">
        <v>1.1523749799737501E-5</v>
      </c>
      <c r="J238" s="3">
        <v>5.2271198329999997</v>
      </c>
      <c r="K238" s="3">
        <v>2.5712875E-2</v>
      </c>
      <c r="L238" s="3">
        <v>11.674028709</v>
      </c>
    </row>
    <row r="239" spans="1:12" x14ac:dyDescent="0.2">
      <c r="A239" s="2">
        <v>6</v>
      </c>
      <c r="B239" s="2">
        <v>64</v>
      </c>
      <c r="C239" s="2">
        <v>64</v>
      </c>
      <c r="D239" s="2">
        <v>38</v>
      </c>
      <c r="E239" s="4">
        <v>2.2065420000000001E-3</v>
      </c>
      <c r="F239" s="4">
        <v>8.7067080000000005E-3</v>
      </c>
      <c r="G239" s="2">
        <v>10</v>
      </c>
      <c r="H239" s="1">
        <v>2.2365471068108501E-7</v>
      </c>
      <c r="I239" s="1">
        <v>1.2025699991683099E-5</v>
      </c>
      <c r="J239" s="3">
        <v>5.2271198329999997</v>
      </c>
      <c r="K239" s="3">
        <v>2.5712875E-2</v>
      </c>
      <c r="L239" s="3">
        <v>11.674028709</v>
      </c>
    </row>
    <row r="240" spans="1:12" x14ac:dyDescent="0.2">
      <c r="A240" s="2">
        <v>6</v>
      </c>
      <c r="B240" s="2">
        <v>64</v>
      </c>
      <c r="C240" s="2">
        <v>64</v>
      </c>
      <c r="D240" s="2">
        <v>39</v>
      </c>
      <c r="E240" s="4">
        <v>2.3574999999999998E-3</v>
      </c>
      <c r="F240" s="4">
        <v>1.9477089999999999E-3</v>
      </c>
      <c r="G240" s="2">
        <v>10</v>
      </c>
      <c r="H240" s="1">
        <v>2.1922044278139601E-7</v>
      </c>
      <c r="I240" s="1">
        <v>1.2531631337100001E-5</v>
      </c>
      <c r="J240" s="3">
        <v>5.2271198329999997</v>
      </c>
      <c r="K240" s="3">
        <v>2.5712875E-2</v>
      </c>
      <c r="L240" s="3">
        <v>11.674028709</v>
      </c>
    </row>
    <row r="241" spans="1:12" x14ac:dyDescent="0.2">
      <c r="A241" s="2">
        <v>6</v>
      </c>
      <c r="B241" s="2">
        <v>64</v>
      </c>
      <c r="C241" s="2">
        <v>64</v>
      </c>
      <c r="D241" s="2">
        <v>40</v>
      </c>
      <c r="E241" s="4">
        <v>2.339916E-3</v>
      </c>
      <c r="F241" s="4">
        <v>1.8239160000000001E-3</v>
      </c>
      <c r="G241" s="2">
        <v>10</v>
      </c>
      <c r="H241" s="1">
        <v>2.1496014720022201E-7</v>
      </c>
      <c r="I241" s="1">
        <v>1.30397836092251E-5</v>
      </c>
      <c r="J241" s="3">
        <v>5.2271198329999997</v>
      </c>
      <c r="K241" s="3">
        <v>2.5712875E-2</v>
      </c>
      <c r="L241" s="3">
        <v>11.674028709</v>
      </c>
    </row>
    <row r="242" spans="1:12" x14ac:dyDescent="0.2">
      <c r="A242" s="2">
        <v>6</v>
      </c>
      <c r="B242" s="2">
        <v>64</v>
      </c>
      <c r="C242" s="2">
        <v>64</v>
      </c>
      <c r="D242" s="2">
        <v>41</v>
      </c>
      <c r="E242" s="4">
        <v>2.3713749999999998E-3</v>
      </c>
      <c r="F242" s="4">
        <v>1.841875E-3</v>
      </c>
      <c r="G242" s="2">
        <v>10</v>
      </c>
      <c r="H242" s="1">
        <v>2.10854963632268E-7</v>
      </c>
      <c r="I242" s="1">
        <v>1.35486145710404E-5</v>
      </c>
      <c r="J242" s="3">
        <v>5.2271198329999997</v>
      </c>
      <c r="K242" s="3">
        <v>2.5712875E-2</v>
      </c>
      <c r="L242" s="3">
        <v>11.674028709</v>
      </c>
    </row>
    <row r="243" spans="1:12" x14ac:dyDescent="0.2">
      <c r="A243" s="2">
        <v>6</v>
      </c>
      <c r="B243" s="2">
        <v>64</v>
      </c>
      <c r="C243" s="2">
        <v>64</v>
      </c>
      <c r="D243" s="2">
        <v>42</v>
      </c>
      <c r="E243" s="4">
        <v>2.5652919999999998E-3</v>
      </c>
      <c r="F243" s="4">
        <v>3.1282079999999999E-3</v>
      </c>
      <c r="G243" s="2">
        <v>10</v>
      </c>
      <c r="H243" s="1">
        <v>2.06890482981462E-7</v>
      </c>
      <c r="I243" s="1">
        <v>1.4056773412481899E-5</v>
      </c>
      <c r="J243" s="3">
        <v>5.2271198329999997</v>
      </c>
      <c r="K243" s="3">
        <v>2.5712875E-2</v>
      </c>
      <c r="L243" s="3">
        <v>11.674028709</v>
      </c>
    </row>
    <row r="244" spans="1:12" x14ac:dyDescent="0.2">
      <c r="A244" s="2">
        <v>6</v>
      </c>
      <c r="B244" s="2">
        <v>64</v>
      </c>
      <c r="C244" s="2">
        <v>64</v>
      </c>
      <c r="D244" s="2">
        <v>43</v>
      </c>
      <c r="E244" s="4">
        <v>2.2846670000000002E-3</v>
      </c>
      <c r="F244" s="4">
        <v>1.8723329999999999E-3</v>
      </c>
      <c r="G244" s="2">
        <v>10</v>
      </c>
      <c r="H244" s="1">
        <v>2.03055415926175E-7</v>
      </c>
      <c r="I244" s="1">
        <v>1.4563080814881901E-5</v>
      </c>
      <c r="J244" s="3">
        <v>5.2271198329999997</v>
      </c>
      <c r="K244" s="3">
        <v>2.5712875E-2</v>
      </c>
      <c r="L244" s="3">
        <v>11.674028709</v>
      </c>
    </row>
    <row r="245" spans="1:12" x14ac:dyDescent="0.2">
      <c r="A245" s="2">
        <v>6</v>
      </c>
      <c r="B245" s="2">
        <v>64</v>
      </c>
      <c r="C245" s="2">
        <v>64</v>
      </c>
      <c r="D245" s="2">
        <v>44</v>
      </c>
      <c r="E245" s="4">
        <v>2.3432499999999998E-3</v>
      </c>
      <c r="F245" s="4">
        <v>1.828959E-3</v>
      </c>
      <c r="G245" s="2">
        <v>10</v>
      </c>
      <c r="H245" s="1">
        <v>1.9934067303214301E-7</v>
      </c>
      <c r="I245" s="1">
        <v>1.50665136048703E-5</v>
      </c>
      <c r="J245" s="3">
        <v>5.2271198329999997</v>
      </c>
      <c r="K245" s="3">
        <v>2.5712875E-2</v>
      </c>
      <c r="L245" s="3">
        <v>11.674028709</v>
      </c>
    </row>
    <row r="246" spans="1:12" x14ac:dyDescent="0.2">
      <c r="A246" s="2">
        <v>6</v>
      </c>
      <c r="B246" s="2">
        <v>64</v>
      </c>
      <c r="C246" s="2">
        <v>64</v>
      </c>
      <c r="D246" s="2">
        <v>45</v>
      </c>
      <c r="E246" s="4">
        <v>2.1841249999999999E-3</v>
      </c>
      <c r="F246" s="4">
        <v>1.8797499999999999E-3</v>
      </c>
      <c r="G246" s="2">
        <v>10</v>
      </c>
      <c r="H246" s="1">
        <v>1.9573872967294899E-7</v>
      </c>
      <c r="I246" s="1">
        <v>1.5566192455620501E-5</v>
      </c>
      <c r="J246" s="3">
        <v>5.2271198329999997</v>
      </c>
      <c r="K246" s="3">
        <v>2.5712875E-2</v>
      </c>
      <c r="L246" s="3">
        <v>11.674028709</v>
      </c>
    </row>
    <row r="247" spans="1:12" x14ac:dyDescent="0.2">
      <c r="A247" s="2">
        <v>6</v>
      </c>
      <c r="B247" s="2">
        <v>64</v>
      </c>
      <c r="C247" s="2">
        <v>64</v>
      </c>
      <c r="D247" s="2">
        <v>46</v>
      </c>
      <c r="E247" s="4">
        <v>2.1875839999999998E-3</v>
      </c>
      <c r="F247" s="4">
        <v>1.951541E-3</v>
      </c>
      <c r="G247" s="2">
        <v>10</v>
      </c>
      <c r="H247" s="1">
        <v>1.9224318841216301E-7</v>
      </c>
      <c r="I247" s="1">
        <v>1.6061371559319198E-5</v>
      </c>
      <c r="J247" s="3">
        <v>5.2271198329999997</v>
      </c>
      <c r="K247" s="3">
        <v>2.5712875E-2</v>
      </c>
      <c r="L247" s="3">
        <v>11.674028709</v>
      </c>
    </row>
    <row r="248" spans="1:12" x14ac:dyDescent="0.2">
      <c r="A248" s="2">
        <v>6</v>
      </c>
      <c r="B248" s="2">
        <v>64</v>
      </c>
      <c r="C248" s="2">
        <v>64</v>
      </c>
      <c r="D248" s="2">
        <v>47</v>
      </c>
      <c r="E248" s="4">
        <v>2.2097499999999999E-3</v>
      </c>
      <c r="F248" s="4">
        <v>1.9255419999999999E-3</v>
      </c>
      <c r="G248" s="2">
        <v>10</v>
      </c>
      <c r="H248" s="1">
        <v>1.8884847888898801E-7</v>
      </c>
      <c r="I248" s="1">
        <v>1.6551429581172498E-5</v>
      </c>
      <c r="J248" s="3">
        <v>5.2271198329999997</v>
      </c>
      <c r="K248" s="3">
        <v>2.5712875E-2</v>
      </c>
      <c r="L248" s="3">
        <v>11.674028709</v>
      </c>
    </row>
    <row r="249" spans="1:12" x14ac:dyDescent="0.2">
      <c r="A249" s="2">
        <v>6</v>
      </c>
      <c r="B249" s="2">
        <v>64</v>
      </c>
      <c r="C249" s="2">
        <v>64</v>
      </c>
      <c r="D249" s="2">
        <v>48</v>
      </c>
      <c r="E249" s="4">
        <v>2.2487079999999999E-3</v>
      </c>
      <c r="F249" s="4">
        <v>2.0227919999999998E-3</v>
      </c>
      <c r="G249" s="2">
        <v>10</v>
      </c>
      <c r="H249" s="1">
        <v>1.85549653094938E-7</v>
      </c>
      <c r="I249" s="1">
        <v>1.7035861417033399E-5</v>
      </c>
      <c r="J249" s="3">
        <v>5.2271198329999997</v>
      </c>
      <c r="K249" s="3">
        <v>2.5712875E-2</v>
      </c>
      <c r="L249" s="3">
        <v>11.674028709</v>
      </c>
    </row>
    <row r="250" spans="1:12" x14ac:dyDescent="0.2">
      <c r="A250" s="2">
        <v>6</v>
      </c>
      <c r="B250" s="2">
        <v>64</v>
      </c>
      <c r="C250" s="2">
        <v>64</v>
      </c>
      <c r="D250" s="2">
        <v>49</v>
      </c>
      <c r="E250" s="4">
        <v>2.572459E-3</v>
      </c>
      <c r="F250" s="4">
        <v>9.6554580000000004E-3</v>
      </c>
      <c r="G250" s="2">
        <v>10</v>
      </c>
      <c r="H250" s="1">
        <v>1.8250725121672099E-7</v>
      </c>
      <c r="I250" s="1">
        <v>1.7530119413095101E-5</v>
      </c>
      <c r="J250" s="3">
        <v>5.2271198329999997</v>
      </c>
      <c r="K250" s="3">
        <v>2.5712875E-2</v>
      </c>
      <c r="L250" s="3">
        <v>11.674028709</v>
      </c>
    </row>
    <row r="251" spans="1:12" x14ac:dyDescent="0.2">
      <c r="A251" s="2">
        <v>6</v>
      </c>
      <c r="B251" s="2">
        <v>64</v>
      </c>
      <c r="C251" s="2">
        <v>64</v>
      </c>
      <c r="D251" s="2">
        <v>50</v>
      </c>
      <c r="E251" s="4">
        <v>2.1730410000000001E-3</v>
      </c>
      <c r="F251" s="4">
        <v>1.7946660000000001E-3</v>
      </c>
      <c r="G251" s="2">
        <v>10</v>
      </c>
      <c r="H251" s="1">
        <v>1.7931035463957999E-7</v>
      </c>
      <c r="I251" s="1">
        <v>1.7995209636527199E-5</v>
      </c>
      <c r="J251" s="3">
        <v>5.2271198329999997</v>
      </c>
      <c r="K251" s="3">
        <v>2.5712875E-2</v>
      </c>
      <c r="L251" s="3">
        <v>11.674028709</v>
      </c>
    </row>
    <row r="252" spans="1:12" x14ac:dyDescent="0.2">
      <c r="A252" s="2">
        <v>6</v>
      </c>
      <c r="B252" s="2">
        <v>64</v>
      </c>
      <c r="C252" s="2">
        <v>64</v>
      </c>
      <c r="D252" s="2">
        <v>51</v>
      </c>
      <c r="E252" s="4">
        <v>2.7511250000000001E-3</v>
      </c>
      <c r="F252" s="4">
        <v>2.6570830000000002E-3</v>
      </c>
      <c r="G252" s="2">
        <v>10</v>
      </c>
      <c r="H252" s="1">
        <v>1.7621497191554401E-7</v>
      </c>
      <c r="I252" s="1">
        <v>1.8454995118221102E-5</v>
      </c>
      <c r="J252" s="3">
        <v>5.2271198329999997</v>
      </c>
      <c r="K252" s="3">
        <v>2.5712875E-2</v>
      </c>
      <c r="L252" s="3">
        <v>11.674028709</v>
      </c>
    </row>
    <row r="253" spans="1:12" x14ac:dyDescent="0.2">
      <c r="A253" s="2">
        <v>6</v>
      </c>
      <c r="B253" s="2">
        <v>64</v>
      </c>
      <c r="C253" s="2">
        <v>64</v>
      </c>
      <c r="D253" s="2">
        <v>52</v>
      </c>
      <c r="E253" s="4">
        <v>2.5783749999999999E-3</v>
      </c>
      <c r="F253" s="4">
        <v>1.917083E-3</v>
      </c>
      <c r="G253" s="2">
        <v>10</v>
      </c>
      <c r="H253" s="1">
        <v>1.7321226149321201E-7</v>
      </c>
      <c r="I253" s="1">
        <v>1.8908997013371099E-5</v>
      </c>
      <c r="J253" s="3">
        <v>5.2271198329999997</v>
      </c>
      <c r="K253" s="3">
        <v>2.5712875E-2</v>
      </c>
      <c r="L253" s="3">
        <v>11.674028709</v>
      </c>
    </row>
    <row r="254" spans="1:12" x14ac:dyDescent="0.2">
      <c r="A254" s="2">
        <v>6</v>
      </c>
      <c r="B254" s="2">
        <v>64</v>
      </c>
      <c r="C254" s="2">
        <v>64</v>
      </c>
      <c r="D254" s="2">
        <v>53</v>
      </c>
      <c r="E254" s="4">
        <v>2.4246659999999998E-3</v>
      </c>
      <c r="F254" s="4">
        <v>1.823292E-3</v>
      </c>
      <c r="G254" s="2">
        <v>10</v>
      </c>
      <c r="H254" s="1">
        <v>1.70714884934145E-7</v>
      </c>
      <c r="I254" s="1">
        <v>1.9404608469629299E-5</v>
      </c>
      <c r="J254" s="3">
        <v>5.2271198329999997</v>
      </c>
      <c r="K254" s="3">
        <v>2.5712875E-2</v>
      </c>
      <c r="L254" s="3">
        <v>11.674028709</v>
      </c>
    </row>
    <row r="255" spans="1:12" x14ac:dyDescent="0.2">
      <c r="A255" s="2">
        <v>6</v>
      </c>
      <c r="B255" s="2">
        <v>64</v>
      </c>
      <c r="C255" s="2">
        <v>64</v>
      </c>
      <c r="D255" s="2">
        <v>54</v>
      </c>
      <c r="E255" s="4">
        <v>2.420625E-3</v>
      </c>
      <c r="F255" s="4">
        <v>1.8342090000000001E-3</v>
      </c>
      <c r="G255" s="2">
        <v>10</v>
      </c>
      <c r="H255" s="1">
        <v>1.6779072335597301E-7</v>
      </c>
      <c r="I255" s="1">
        <v>1.9837870135396699E-5</v>
      </c>
      <c r="J255" s="3">
        <v>5.2271198329999997</v>
      </c>
      <c r="K255" s="3">
        <v>2.5712875E-2</v>
      </c>
      <c r="L255" s="3">
        <v>11.674028709</v>
      </c>
    </row>
    <row r="256" spans="1:12" x14ac:dyDescent="0.2">
      <c r="A256" s="2">
        <v>6</v>
      </c>
      <c r="B256" s="2">
        <v>64</v>
      </c>
      <c r="C256" s="2">
        <v>64</v>
      </c>
      <c r="D256" s="2">
        <v>55</v>
      </c>
      <c r="E256" s="4">
        <v>2.3698339999999999E-3</v>
      </c>
      <c r="F256" s="4">
        <v>1.8090000000000001E-3</v>
      </c>
      <c r="G256" s="2">
        <v>10</v>
      </c>
      <c r="H256" s="1">
        <v>1.6496996436644099E-7</v>
      </c>
      <c r="I256" s="1">
        <v>2.0267483754525202E-5</v>
      </c>
      <c r="J256" s="3">
        <v>5.2271198329999997</v>
      </c>
      <c r="K256" s="3">
        <v>2.5712875E-2</v>
      </c>
      <c r="L256" s="3">
        <v>11.674028709</v>
      </c>
    </row>
    <row r="257" spans="1:12" x14ac:dyDescent="0.2">
      <c r="A257" s="2">
        <v>6</v>
      </c>
      <c r="B257" s="2">
        <v>64</v>
      </c>
      <c r="C257" s="2">
        <v>64</v>
      </c>
      <c r="D257" s="2">
        <v>56</v>
      </c>
      <c r="E257" s="4">
        <v>2.4166249999999999E-3</v>
      </c>
      <c r="F257" s="4">
        <v>1.75825E-3</v>
      </c>
      <c r="G257" s="2">
        <v>9</v>
      </c>
      <c r="H257" s="1">
        <v>1.62413777403433E-7</v>
      </c>
      <c r="I257" s="1">
        <v>2.0714924925285899E-5</v>
      </c>
      <c r="J257" s="3">
        <v>5.2271198329999997</v>
      </c>
      <c r="K257" s="3">
        <v>2.5712875E-2</v>
      </c>
      <c r="L257" s="3">
        <v>11.674028709</v>
      </c>
    </row>
    <row r="258" spans="1:12" x14ac:dyDescent="0.2">
      <c r="A258" s="2">
        <v>6</v>
      </c>
      <c r="B258" s="2">
        <v>64</v>
      </c>
      <c r="C258" s="2">
        <v>64</v>
      </c>
      <c r="D258" s="2">
        <v>57</v>
      </c>
      <c r="E258" s="4">
        <v>2.3409170000000001E-3</v>
      </c>
      <c r="F258" s="4">
        <v>1.8096659999999999E-3</v>
      </c>
      <c r="G258" s="2">
        <v>9</v>
      </c>
      <c r="H258" s="1">
        <v>1.5972920935500999E-7</v>
      </c>
      <c r="I258" s="1">
        <v>2.1131512911449198E-5</v>
      </c>
      <c r="J258" s="3">
        <v>5.2271198329999997</v>
      </c>
      <c r="K258" s="3">
        <v>2.5712875E-2</v>
      </c>
      <c r="L258" s="3">
        <v>11.674028709</v>
      </c>
    </row>
    <row r="259" spans="1:12" x14ac:dyDescent="0.2">
      <c r="A259" s="2">
        <v>6</v>
      </c>
      <c r="B259" s="2">
        <v>64</v>
      </c>
      <c r="C259" s="2">
        <v>64</v>
      </c>
      <c r="D259" s="2">
        <v>58</v>
      </c>
      <c r="E259" s="4">
        <v>2.3500830000000002E-3</v>
      </c>
      <c r="F259" s="4">
        <v>1.818E-3</v>
      </c>
      <c r="G259" s="2">
        <v>9</v>
      </c>
      <c r="H259" s="1">
        <v>1.57130326304689E-7</v>
      </c>
      <c r="I259" s="1">
        <v>2.15443698152587E-5</v>
      </c>
      <c r="J259" s="3">
        <v>5.2271198329999997</v>
      </c>
      <c r="K259" s="3">
        <v>2.5712875E-2</v>
      </c>
      <c r="L259" s="3">
        <v>11.674028709</v>
      </c>
    </row>
    <row r="260" spans="1:12" x14ac:dyDescent="0.2">
      <c r="A260" s="2">
        <v>6</v>
      </c>
      <c r="B260" s="2">
        <v>64</v>
      </c>
      <c r="C260" s="2">
        <v>64</v>
      </c>
      <c r="D260" s="2">
        <v>59</v>
      </c>
      <c r="E260" s="4">
        <v>2.515541E-3</v>
      </c>
      <c r="F260" s="4">
        <v>1.7368749999999999E-3</v>
      </c>
      <c r="G260" s="2">
        <v>9</v>
      </c>
      <c r="H260" s="1">
        <v>1.5460777139862701E-7</v>
      </c>
      <c r="I260" s="1">
        <v>2.1953057049857902E-5</v>
      </c>
      <c r="J260" s="3">
        <v>5.2271198329999997</v>
      </c>
      <c r="K260" s="3">
        <v>2.5712875E-2</v>
      </c>
      <c r="L260" s="3">
        <v>11.674028709</v>
      </c>
    </row>
    <row r="261" spans="1:12" x14ac:dyDescent="0.2">
      <c r="A261" s="2">
        <v>6</v>
      </c>
      <c r="B261" s="2">
        <v>64</v>
      </c>
      <c r="C261" s="2">
        <v>64</v>
      </c>
      <c r="D261" s="2">
        <v>60</v>
      </c>
      <c r="E261" s="4">
        <v>2.4087499999999999E-3</v>
      </c>
      <c r="F261" s="4">
        <v>1.910667E-3</v>
      </c>
      <c r="G261" s="2">
        <v>9</v>
      </c>
      <c r="H261" s="1">
        <v>1.5215459604617099E-7</v>
      </c>
      <c r="I261" s="1">
        <v>2.23573654568049E-5</v>
      </c>
      <c r="J261" s="3">
        <v>5.2271198329999997</v>
      </c>
      <c r="K261" s="3">
        <v>2.5712875E-2</v>
      </c>
      <c r="L261" s="3">
        <v>11.674028709</v>
      </c>
    </row>
    <row r="262" spans="1:12" x14ac:dyDescent="0.2">
      <c r="A262" s="2">
        <v>6</v>
      </c>
      <c r="B262" s="2">
        <v>64</v>
      </c>
      <c r="C262" s="2">
        <v>64</v>
      </c>
      <c r="D262" s="2">
        <v>61</v>
      </c>
      <c r="E262" s="4">
        <v>2.3862919999999999E-3</v>
      </c>
      <c r="F262" s="4">
        <v>1.7655419999999999E-3</v>
      </c>
      <c r="G262" s="2">
        <v>9</v>
      </c>
      <c r="H262" s="1">
        <v>1.4976547507127199E-7</v>
      </c>
      <c r="I262" s="1">
        <v>2.2757244358030601E-5</v>
      </c>
      <c r="J262" s="3">
        <v>5.2271198329999997</v>
      </c>
      <c r="K262" s="3">
        <v>2.5712875E-2</v>
      </c>
      <c r="L262" s="3">
        <v>11.674028709</v>
      </c>
    </row>
    <row r="263" spans="1:12" x14ac:dyDescent="0.2">
      <c r="A263" s="2">
        <v>6</v>
      </c>
      <c r="B263" s="2">
        <v>64</v>
      </c>
      <c r="C263" s="2">
        <v>64</v>
      </c>
      <c r="D263" s="2">
        <v>62</v>
      </c>
      <c r="E263" s="4">
        <v>2.3176659999999999E-3</v>
      </c>
      <c r="F263" s="4">
        <v>1.781625E-3</v>
      </c>
      <c r="G263" s="2">
        <v>9</v>
      </c>
      <c r="H263" s="1">
        <v>1.4743632203141301E-7</v>
      </c>
      <c r="I263" s="1">
        <v>2.3152772407964301E-5</v>
      </c>
      <c r="J263" s="3">
        <v>5.2271198329999997</v>
      </c>
      <c r="K263" s="3">
        <v>2.5712875E-2</v>
      </c>
      <c r="L263" s="3">
        <v>11.674028709</v>
      </c>
    </row>
    <row r="264" spans="1:12" x14ac:dyDescent="0.2">
      <c r="A264" s="2">
        <v>6</v>
      </c>
      <c r="B264" s="2">
        <v>64</v>
      </c>
      <c r="C264" s="2">
        <v>64</v>
      </c>
      <c r="D264" s="2">
        <v>63</v>
      </c>
      <c r="E264" s="4">
        <v>9.1301660000000003E-3</v>
      </c>
      <c r="F264" s="4">
        <v>1.9949590000000001E-3</v>
      </c>
      <c r="G264" s="2">
        <v>9</v>
      </c>
      <c r="H264" s="1">
        <v>1.4516404309964801E-7</v>
      </c>
      <c r="I264" s="1">
        <v>2.3544141183441599E-5</v>
      </c>
      <c r="J264" s="3">
        <v>5.2271198329999997</v>
      </c>
      <c r="K264" s="3">
        <v>2.5712875E-2</v>
      </c>
      <c r="L264" s="3">
        <v>11.674028709</v>
      </c>
    </row>
    <row r="265" spans="1:12" x14ac:dyDescent="0.2">
      <c r="A265" s="2">
        <v>6</v>
      </c>
      <c r="B265" s="2">
        <v>64</v>
      </c>
      <c r="C265" s="2">
        <v>64</v>
      </c>
      <c r="D265" s="2">
        <v>64</v>
      </c>
      <c r="E265" s="4">
        <v>2.2665839999999999E-3</v>
      </c>
      <c r="F265" s="4">
        <v>1.814333E-3</v>
      </c>
      <c r="G265" s="2">
        <v>9</v>
      </c>
      <c r="H265" s="1">
        <v>1.42946290411203E-7</v>
      </c>
      <c r="I265" s="1">
        <v>2.3931632770071998E-5</v>
      </c>
      <c r="J265" s="3">
        <v>5.2271198329999997</v>
      </c>
      <c r="K265" s="3">
        <v>2.5712875E-2</v>
      </c>
      <c r="L265" s="3">
        <v>11.674028709</v>
      </c>
    </row>
    <row r="266" spans="1:12" x14ac:dyDescent="0.2">
      <c r="A266" s="2">
        <v>6</v>
      </c>
      <c r="B266" s="2">
        <v>64</v>
      </c>
      <c r="C266" s="2">
        <v>64</v>
      </c>
      <c r="D266" s="2">
        <v>65</v>
      </c>
      <c r="E266" s="4">
        <v>2.548458E-3</v>
      </c>
      <c r="F266" s="4">
        <v>1.811291E-3</v>
      </c>
      <c r="G266" s="2">
        <v>9</v>
      </c>
      <c r="H266" s="1">
        <v>1.40781203675847E-7</v>
      </c>
      <c r="I266" s="1">
        <v>2.43155890496535E-5</v>
      </c>
      <c r="J266" s="3">
        <v>5.2271198329999997</v>
      </c>
      <c r="K266" s="3">
        <v>2.5712875E-2</v>
      </c>
      <c r="L266" s="3">
        <v>11.674028709</v>
      </c>
    </row>
    <row r="267" spans="1:12" x14ac:dyDescent="0.2">
      <c r="A267" s="2">
        <v>6</v>
      </c>
      <c r="B267" s="2">
        <v>64</v>
      </c>
      <c r="C267" s="2">
        <v>64</v>
      </c>
      <c r="D267" s="2">
        <v>66</v>
      </c>
      <c r="E267" s="4">
        <v>2.1657500000000001E-3</v>
      </c>
      <c r="F267" s="4">
        <v>1.828166E-3</v>
      </c>
      <c r="G267" s="2">
        <v>9</v>
      </c>
      <c r="H267" s="1">
        <v>1.3866719507561201E-7</v>
      </c>
      <c r="I267" s="1">
        <v>2.4696381678062001E-5</v>
      </c>
      <c r="J267" s="3">
        <v>5.2271198329999997</v>
      </c>
      <c r="K267" s="3">
        <v>2.5712875E-2</v>
      </c>
      <c r="L267" s="3">
        <v>11.674028709</v>
      </c>
    </row>
    <row r="268" spans="1:12" x14ac:dyDescent="0.2">
      <c r="A268" s="2">
        <v>6</v>
      </c>
      <c r="B268" s="2">
        <v>64</v>
      </c>
      <c r="C268" s="2">
        <v>64</v>
      </c>
      <c r="D268" s="2">
        <v>67</v>
      </c>
      <c r="E268" s="4">
        <v>2.4794999999999999E-3</v>
      </c>
      <c r="F268" s="4">
        <v>1.918625E-3</v>
      </c>
      <c r="G268" s="2">
        <v>9</v>
      </c>
      <c r="H268" s="1">
        <v>1.3660280831932699E-7</v>
      </c>
      <c r="I268" s="1">
        <v>2.50743896581958E-5</v>
      </c>
      <c r="J268" s="3">
        <v>5.2271198329999997</v>
      </c>
      <c r="K268" s="3">
        <v>2.5712875E-2</v>
      </c>
      <c r="L268" s="3">
        <v>11.674028709</v>
      </c>
    </row>
    <row r="269" spans="1:12" x14ac:dyDescent="0.2">
      <c r="A269" s="2">
        <v>6</v>
      </c>
      <c r="B269" s="2">
        <v>64</v>
      </c>
      <c r="C269" s="2">
        <v>64</v>
      </c>
      <c r="D269" s="2">
        <v>68</v>
      </c>
      <c r="E269" s="4">
        <v>2.5460830000000002E-3</v>
      </c>
      <c r="F269" s="4">
        <v>1.7780420000000001E-3</v>
      </c>
      <c r="G269" s="2">
        <v>9</v>
      </c>
      <c r="H269" s="1">
        <v>1.34586634637399E-7</v>
      </c>
      <c r="I269" s="1">
        <v>2.5449983753979899E-5</v>
      </c>
      <c r="J269" s="3">
        <v>5.2271198329999997</v>
      </c>
      <c r="K269" s="3">
        <v>2.5712875E-2</v>
      </c>
      <c r="L269" s="3">
        <v>11.674028709</v>
      </c>
    </row>
    <row r="270" spans="1:12" x14ac:dyDescent="0.2">
      <c r="A270" s="2">
        <v>6</v>
      </c>
      <c r="B270" s="2">
        <v>64</v>
      </c>
      <c r="C270" s="2">
        <v>64</v>
      </c>
      <c r="D270" s="2">
        <v>69</v>
      </c>
      <c r="E270" s="4">
        <v>2.3037499999999998E-3</v>
      </c>
      <c r="F270" s="4">
        <v>2.9082919999999998E-3</v>
      </c>
      <c r="G270" s="2">
        <v>8</v>
      </c>
      <c r="H270" s="1">
        <v>1.32709866981717E-7</v>
      </c>
      <c r="I270" s="1">
        <v>2.58415473362629E-5</v>
      </c>
      <c r="J270" s="3">
        <v>5.2271198329999997</v>
      </c>
      <c r="K270" s="3">
        <v>2.5712875E-2</v>
      </c>
      <c r="L270" s="3">
        <v>11.674028709</v>
      </c>
    </row>
    <row r="271" spans="1:12" x14ac:dyDescent="0.2">
      <c r="A271" s="2">
        <v>6</v>
      </c>
      <c r="B271" s="2">
        <v>64</v>
      </c>
      <c r="C271" s="2">
        <v>64</v>
      </c>
      <c r="D271" s="2">
        <v>70</v>
      </c>
      <c r="E271" s="4">
        <v>2.4335419999999999E-3</v>
      </c>
      <c r="F271" s="4">
        <v>1.7815000000000001E-3</v>
      </c>
      <c r="G271" s="2">
        <v>8</v>
      </c>
      <c r="H271" s="1">
        <v>1.3076035978604699E-7</v>
      </c>
      <c r="I271" s="1">
        <v>2.6208758665429701E-5</v>
      </c>
      <c r="J271" s="3">
        <v>5.2271198329999997</v>
      </c>
      <c r="K271" s="3">
        <v>2.5712875E-2</v>
      </c>
      <c r="L271" s="3">
        <v>11.674028709</v>
      </c>
    </row>
    <row r="272" spans="1:12" x14ac:dyDescent="0.2">
      <c r="A272" s="2">
        <v>6</v>
      </c>
      <c r="B272" s="2">
        <v>64</v>
      </c>
      <c r="C272" s="2">
        <v>64</v>
      </c>
      <c r="D272" s="2">
        <v>71</v>
      </c>
      <c r="E272" s="4">
        <v>2.4214169999999999E-3</v>
      </c>
      <c r="F272" s="4">
        <v>1.8370839999999999E-3</v>
      </c>
      <c r="G272" s="2">
        <v>8</v>
      </c>
      <c r="H272" s="1">
        <v>1.28863424215556E-7</v>
      </c>
      <c r="I272" s="1">
        <v>2.6576027478421202E-5</v>
      </c>
      <c r="J272" s="3">
        <v>5.2271198329999997</v>
      </c>
      <c r="K272" s="3">
        <v>2.5712875E-2</v>
      </c>
      <c r="L272" s="3">
        <v>11.674028709</v>
      </c>
    </row>
    <row r="273" spans="1:12" x14ac:dyDescent="0.2">
      <c r="A273" s="2">
        <v>6</v>
      </c>
      <c r="B273" s="2">
        <v>64</v>
      </c>
      <c r="C273" s="2">
        <v>64</v>
      </c>
      <c r="D273" s="2">
        <v>72</v>
      </c>
      <c r="E273" s="4">
        <v>2.3648749999999998E-3</v>
      </c>
      <c r="F273" s="4">
        <v>1.8448329999999999E-3</v>
      </c>
      <c r="G273" s="2">
        <v>8</v>
      </c>
      <c r="H273" s="1">
        <v>1.2701388017433499E-7</v>
      </c>
      <c r="I273" s="1">
        <v>2.6942980042994699E-5</v>
      </c>
      <c r="J273" s="3">
        <v>5.2271198329999997</v>
      </c>
      <c r="K273" s="3">
        <v>2.5712875E-2</v>
      </c>
      <c r="L273" s="3">
        <v>11.674028709</v>
      </c>
    </row>
    <row r="274" spans="1:12" x14ac:dyDescent="0.2">
      <c r="A274" s="2">
        <v>6</v>
      </c>
      <c r="B274" s="2">
        <v>64</v>
      </c>
      <c r="C274" s="2">
        <v>64</v>
      </c>
      <c r="D274" s="2">
        <v>73</v>
      </c>
      <c r="E274" s="4">
        <v>2.350375E-3</v>
      </c>
      <c r="F274" s="4">
        <v>1.7755410000000001E-3</v>
      </c>
      <c r="G274" s="2">
        <v>8</v>
      </c>
      <c r="H274" s="1">
        <v>1.2520838864234799E-7</v>
      </c>
      <c r="I274" s="1">
        <v>2.7309531398119802E-5</v>
      </c>
      <c r="J274" s="3">
        <v>5.2271198329999997</v>
      </c>
      <c r="K274" s="3">
        <v>2.5712875E-2</v>
      </c>
      <c r="L274" s="3">
        <v>11.674028709</v>
      </c>
    </row>
    <row r="275" spans="1:12" x14ac:dyDescent="0.2">
      <c r="A275" s="2">
        <v>6</v>
      </c>
      <c r="B275" s="2">
        <v>64</v>
      </c>
      <c r="C275" s="2">
        <v>64</v>
      </c>
      <c r="D275" s="2">
        <v>74</v>
      </c>
      <c r="E275" s="4">
        <v>2.3227090000000001E-3</v>
      </c>
      <c r="F275" s="4">
        <v>1.7752499999999999E-3</v>
      </c>
      <c r="G275" s="2">
        <v>8</v>
      </c>
      <c r="H275" s="1">
        <v>1.23444541273051E-7</v>
      </c>
      <c r="I275" s="1">
        <v>2.7675732365633299E-5</v>
      </c>
      <c r="J275" s="3">
        <v>5.2271198329999997</v>
      </c>
      <c r="K275" s="3">
        <v>2.5712875E-2</v>
      </c>
      <c r="L275" s="3">
        <v>11.674028709</v>
      </c>
    </row>
    <row r="276" spans="1:12" x14ac:dyDescent="0.2">
      <c r="A276" s="2">
        <v>6</v>
      </c>
      <c r="B276" s="2">
        <v>64</v>
      </c>
      <c r="C276" s="2">
        <v>64</v>
      </c>
      <c r="D276" s="2">
        <v>75</v>
      </c>
      <c r="E276" s="4">
        <v>2.193417E-3</v>
      </c>
      <c r="F276" s="4">
        <v>1.995583E-3</v>
      </c>
      <c r="G276" s="2">
        <v>8</v>
      </c>
      <c r="H276" s="1">
        <v>1.2172045188045099E-7</v>
      </c>
      <c r="I276" s="1">
        <v>2.80417011232862E-5</v>
      </c>
      <c r="J276" s="3">
        <v>5.2271198329999997</v>
      </c>
      <c r="K276" s="3">
        <v>2.5712875E-2</v>
      </c>
      <c r="L276" s="3">
        <v>11.674028709</v>
      </c>
    </row>
    <row r="277" spans="1:12" x14ac:dyDescent="0.2">
      <c r="A277" s="2">
        <v>6</v>
      </c>
      <c r="B277" s="2">
        <v>64</v>
      </c>
      <c r="C277" s="2">
        <v>64</v>
      </c>
      <c r="D277" s="2">
        <v>76</v>
      </c>
      <c r="E277" s="4">
        <v>2.353333E-3</v>
      </c>
      <c r="F277" s="4">
        <v>1.8275419999999999E-3</v>
      </c>
      <c r="G277" s="2">
        <v>8</v>
      </c>
      <c r="H277" s="1">
        <v>1.2003455500894999E-7</v>
      </c>
      <c r="I277" s="1">
        <v>2.8407589832181599E-5</v>
      </c>
      <c r="J277" s="3">
        <v>5.2271198329999997</v>
      </c>
      <c r="K277" s="3">
        <v>2.5712875E-2</v>
      </c>
      <c r="L277" s="3">
        <v>11.674028709</v>
      </c>
    </row>
    <row r="278" spans="1:12" x14ac:dyDescent="0.2">
      <c r="A278" s="2">
        <v>6</v>
      </c>
      <c r="B278" s="2">
        <v>64</v>
      </c>
      <c r="C278" s="2">
        <v>64</v>
      </c>
      <c r="D278" s="2">
        <v>77</v>
      </c>
      <c r="E278" s="4">
        <v>2.1577499999999999E-3</v>
      </c>
      <c r="F278" s="4">
        <v>1.852708E-3</v>
      </c>
      <c r="G278" s="2">
        <v>8</v>
      </c>
      <c r="H278" s="1">
        <v>1.18385495813961E-7</v>
      </c>
      <c r="I278" s="1">
        <v>2.8773566599741199E-5</v>
      </c>
      <c r="J278" s="3">
        <v>5.2271198329999997</v>
      </c>
      <c r="K278" s="3">
        <v>2.5712875E-2</v>
      </c>
      <c r="L278" s="3">
        <v>11.674028709</v>
      </c>
    </row>
    <row r="279" spans="1:12" x14ac:dyDescent="0.2">
      <c r="A279" s="2">
        <v>6</v>
      </c>
      <c r="B279" s="2">
        <v>64</v>
      </c>
      <c r="C279" s="2">
        <v>64</v>
      </c>
      <c r="D279" s="2">
        <v>78</v>
      </c>
      <c r="E279" s="4">
        <v>2.2055830000000001E-3</v>
      </c>
      <c r="F279" s="4">
        <v>1.8000830000000001E-3</v>
      </c>
      <c r="G279" s="2">
        <v>8</v>
      </c>
      <c r="H279" s="1">
        <v>1.16772065061296E-7</v>
      </c>
      <c r="I279" s="1">
        <v>2.9139804971745199E-5</v>
      </c>
      <c r="J279" s="3">
        <v>5.2271198329999997</v>
      </c>
      <c r="K279" s="3">
        <v>2.5712875E-2</v>
      </c>
      <c r="L279" s="3">
        <v>11.674028709</v>
      </c>
    </row>
    <row r="280" spans="1:12" x14ac:dyDescent="0.2">
      <c r="A280" s="2">
        <v>6</v>
      </c>
      <c r="B280" s="2">
        <v>64</v>
      </c>
      <c r="C280" s="2">
        <v>64</v>
      </c>
      <c r="D280" s="2">
        <v>79</v>
      </c>
      <c r="E280" s="4">
        <v>2.2920409999999999E-3</v>
      </c>
      <c r="F280" s="4">
        <v>1.7415E-3</v>
      </c>
      <c r="G280" s="2">
        <v>8</v>
      </c>
      <c r="H280" s="1">
        <v>1.15193159271789E-7</v>
      </c>
      <c r="I280" s="1">
        <v>2.9506477676211199E-5</v>
      </c>
      <c r="J280" s="3">
        <v>5.2271198329999997</v>
      </c>
      <c r="K280" s="3">
        <v>2.5712875E-2</v>
      </c>
      <c r="L280" s="3">
        <v>11.674028709</v>
      </c>
    </row>
    <row r="281" spans="1:12" x14ac:dyDescent="0.2">
      <c r="A281" s="2">
        <v>6</v>
      </c>
      <c r="B281" s="2">
        <v>64</v>
      </c>
      <c r="C281" s="2">
        <v>64</v>
      </c>
      <c r="D281" s="2">
        <v>80</v>
      </c>
      <c r="E281" s="4">
        <v>2.4162089999999999E-3</v>
      </c>
      <c r="F281" s="4">
        <v>1.790708E-3</v>
      </c>
      <c r="G281" s="2">
        <v>8</v>
      </c>
      <c r="H281" s="1">
        <v>1.13647755541395E-7</v>
      </c>
      <c r="I281" s="1">
        <v>2.9873752895342001E-5</v>
      </c>
      <c r="J281" s="3">
        <v>5.2271198329999997</v>
      </c>
      <c r="K281" s="3">
        <v>2.5712875E-2</v>
      </c>
      <c r="L281" s="3">
        <v>11.674028709</v>
      </c>
    </row>
    <row r="282" spans="1:12" x14ac:dyDescent="0.2">
      <c r="A282" s="2">
        <v>6</v>
      </c>
      <c r="B282" s="2">
        <v>64</v>
      </c>
      <c r="C282" s="2">
        <v>64</v>
      </c>
      <c r="D282" s="2">
        <v>81</v>
      </c>
      <c r="E282" s="4">
        <v>2.2575410000000001E-3</v>
      </c>
      <c r="F282" s="4">
        <v>1.7598329999999999E-3</v>
      </c>
      <c r="G282" s="2">
        <v>8</v>
      </c>
      <c r="H282" s="1">
        <v>1.12134895331412E-7</v>
      </c>
      <c r="I282" s="1">
        <v>3.0241792128415399E-5</v>
      </c>
      <c r="J282" s="3">
        <v>5.2271198329999997</v>
      </c>
      <c r="K282" s="3">
        <v>2.5712875E-2</v>
      </c>
      <c r="L282" s="3">
        <v>11.674028709</v>
      </c>
    </row>
    <row r="283" spans="1:12" x14ac:dyDescent="0.2">
      <c r="A283" s="2">
        <v>6</v>
      </c>
      <c r="B283" s="2">
        <v>64</v>
      </c>
      <c r="C283" s="2">
        <v>64</v>
      </c>
      <c r="D283" s="2">
        <v>82</v>
      </c>
      <c r="E283" s="4">
        <v>2.3845419999999999E-3</v>
      </c>
      <c r="F283" s="4">
        <v>1.795334E-3</v>
      </c>
      <c r="G283" s="2">
        <v>8</v>
      </c>
      <c r="H283" s="1">
        <v>1.10653673571975E-7</v>
      </c>
      <c r="I283" s="1">
        <v>3.0610749002766398E-5</v>
      </c>
      <c r="J283" s="3">
        <v>5.2271198329999997</v>
      </c>
      <c r="K283" s="3">
        <v>2.5712875E-2</v>
      </c>
      <c r="L283" s="3">
        <v>11.674028709</v>
      </c>
    </row>
    <row r="284" spans="1:12" x14ac:dyDescent="0.2">
      <c r="A284" s="2">
        <v>6</v>
      </c>
      <c r="B284" s="2">
        <v>64</v>
      </c>
      <c r="C284" s="2">
        <v>64</v>
      </c>
      <c r="D284" s="2">
        <v>83</v>
      </c>
      <c r="E284" s="4">
        <v>2.6449580000000002E-3</v>
      </c>
      <c r="F284" s="4">
        <v>1.8899170000000001E-3</v>
      </c>
      <c r="G284" s="2">
        <v>8</v>
      </c>
      <c r="H284" s="1">
        <v>1.09203230983733E-7</v>
      </c>
      <c r="I284" s="1">
        <v>3.0980768654843603E-5</v>
      </c>
      <c r="J284" s="3">
        <v>5.2271198329999997</v>
      </c>
      <c r="K284" s="3">
        <v>2.5712875E-2</v>
      </c>
      <c r="L284" s="3">
        <v>11.674028709</v>
      </c>
    </row>
    <row r="285" spans="1:12" x14ac:dyDescent="0.2">
      <c r="A285" s="2">
        <v>6</v>
      </c>
      <c r="B285" s="2">
        <v>64</v>
      </c>
      <c r="C285" s="2">
        <v>64</v>
      </c>
      <c r="D285" s="2">
        <v>84</v>
      </c>
      <c r="E285" s="4">
        <v>2.200834E-3</v>
      </c>
      <c r="F285" s="4">
        <v>1.9827500000000001E-3</v>
      </c>
      <c r="G285" s="2">
        <v>8</v>
      </c>
      <c r="H285" s="1">
        <v>1.07782748360322E-7</v>
      </c>
      <c r="I285" s="1">
        <v>3.1351987444223297E-5</v>
      </c>
      <c r="J285" s="3">
        <v>5.2271198329999997</v>
      </c>
      <c r="K285" s="3">
        <v>2.5712875E-2</v>
      </c>
      <c r="L285" s="3">
        <v>11.674028709</v>
      </c>
    </row>
    <row r="286" spans="1:12" x14ac:dyDescent="0.2">
      <c r="A286" s="2">
        <v>6</v>
      </c>
      <c r="B286" s="2">
        <v>64</v>
      </c>
      <c r="C286" s="2">
        <v>64</v>
      </c>
      <c r="D286" s="2">
        <v>85</v>
      </c>
      <c r="E286" s="4">
        <v>2.3422500000000001E-3</v>
      </c>
      <c r="F286" s="4">
        <v>1.9080830000000001E-3</v>
      </c>
      <c r="G286" s="2">
        <v>8</v>
      </c>
      <c r="H286" s="1">
        <v>1.0639144203525E-7</v>
      </c>
      <c r="I286" s="1">
        <v>3.1724532844669202E-5</v>
      </c>
      <c r="J286" s="3">
        <v>5.2271198329999997</v>
      </c>
      <c r="K286" s="3">
        <v>2.5712875E-2</v>
      </c>
      <c r="L286" s="3">
        <v>11.674028709</v>
      </c>
    </row>
    <row r="287" spans="1:12" x14ac:dyDescent="0.2">
      <c r="A287" s="2">
        <v>6</v>
      </c>
      <c r="B287" s="2">
        <v>64</v>
      </c>
      <c r="C287" s="2">
        <v>64</v>
      </c>
      <c r="D287" s="2">
        <v>86</v>
      </c>
      <c r="E287" s="4">
        <v>2.198584E-3</v>
      </c>
      <c r="F287" s="4">
        <v>1.836334E-3</v>
      </c>
      <c r="G287" s="2">
        <v>8</v>
      </c>
      <c r="H287" s="1">
        <v>1.05077353970587E-7</v>
      </c>
      <c r="I287" s="1">
        <v>3.21134356633342E-5</v>
      </c>
      <c r="J287" s="3">
        <v>5.2271198329999997</v>
      </c>
      <c r="K287" s="3">
        <v>2.5712875E-2</v>
      </c>
      <c r="L287" s="3">
        <v>11.674028709</v>
      </c>
    </row>
    <row r="288" spans="1:12" x14ac:dyDescent="0.2">
      <c r="A288" s="2">
        <v>6</v>
      </c>
      <c r="B288" s="2">
        <v>64</v>
      </c>
      <c r="C288" s="2">
        <v>64</v>
      </c>
      <c r="D288" s="2">
        <v>87</v>
      </c>
      <c r="E288" s="4">
        <v>2.4121659999999999E-3</v>
      </c>
      <c r="F288" s="4">
        <v>1.960416E-3</v>
      </c>
      <c r="G288" s="2">
        <v>8</v>
      </c>
      <c r="H288" s="1">
        <v>1.03728514936822E-7</v>
      </c>
      <c r="I288" s="1">
        <v>3.24850724700587E-5</v>
      </c>
      <c r="J288" s="3">
        <v>5.2271198329999997</v>
      </c>
      <c r="K288" s="3">
        <v>2.5712875E-2</v>
      </c>
      <c r="L288" s="3">
        <v>11.674028709</v>
      </c>
    </row>
    <row r="289" spans="1:12" x14ac:dyDescent="0.2">
      <c r="A289" s="2">
        <v>6</v>
      </c>
      <c r="B289" s="2">
        <v>64</v>
      </c>
      <c r="C289" s="2">
        <v>64</v>
      </c>
      <c r="D289" s="2">
        <v>88</v>
      </c>
      <c r="E289" s="4">
        <v>2.3617920000000001E-3</v>
      </c>
      <c r="F289" s="4">
        <v>1.7497089999999999E-3</v>
      </c>
      <c r="G289" s="2">
        <v>8</v>
      </c>
      <c r="H289" s="1">
        <v>1.02409671959665E-7</v>
      </c>
      <c r="I289" s="1">
        <v>3.2859121574057697E-5</v>
      </c>
      <c r="J289" s="3">
        <v>5.2271198329999997</v>
      </c>
      <c r="K289" s="3">
        <v>2.5712875E-2</v>
      </c>
      <c r="L289" s="3">
        <v>11.674028709</v>
      </c>
    </row>
    <row r="290" spans="1:12" x14ac:dyDescent="0.2">
      <c r="A290" s="2">
        <v>6</v>
      </c>
      <c r="B290" s="2">
        <v>64</v>
      </c>
      <c r="C290" s="2">
        <v>64</v>
      </c>
      <c r="D290" s="2">
        <v>89</v>
      </c>
      <c r="E290" s="4">
        <v>2.6070830000000001E-3</v>
      </c>
      <c r="F290" s="4">
        <v>1.783125E-3</v>
      </c>
      <c r="G290" s="2">
        <v>8</v>
      </c>
      <c r="H290" s="1">
        <v>1.01119613770164E-7</v>
      </c>
      <c r="I290" s="1">
        <v>3.3235563529501101E-5</v>
      </c>
      <c r="J290" s="3">
        <v>5.2271198329999997</v>
      </c>
      <c r="K290" s="3">
        <v>2.5712875E-2</v>
      </c>
      <c r="L290" s="3">
        <v>11.674028709</v>
      </c>
    </row>
    <row r="291" spans="1:12" x14ac:dyDescent="0.2">
      <c r="A291" s="2">
        <v>6</v>
      </c>
      <c r="B291" s="2">
        <v>64</v>
      </c>
      <c r="C291" s="2">
        <v>64</v>
      </c>
      <c r="D291" s="2">
        <v>90</v>
      </c>
      <c r="E291" s="4">
        <v>2.2528750000000001E-3</v>
      </c>
      <c r="F291" s="4">
        <v>1.743292E-3</v>
      </c>
      <c r="G291" s="2">
        <v>8</v>
      </c>
      <c r="H291" s="1">
        <v>9.9857370680082394E-8</v>
      </c>
      <c r="I291" s="1">
        <v>3.36144296189648E-5</v>
      </c>
      <c r="J291" s="3">
        <v>5.2271198329999997</v>
      </c>
      <c r="K291" s="3">
        <v>2.5712875E-2</v>
      </c>
      <c r="L291" s="3">
        <v>11.674028709</v>
      </c>
    </row>
    <row r="292" spans="1:12" x14ac:dyDescent="0.2">
      <c r="A292" s="2">
        <v>6</v>
      </c>
      <c r="B292" s="2">
        <v>64</v>
      </c>
      <c r="C292" s="2">
        <v>64</v>
      </c>
      <c r="D292" s="2">
        <v>91</v>
      </c>
      <c r="E292" s="4">
        <v>2.126125E-3</v>
      </c>
      <c r="F292" s="4">
        <v>1.766292E-3</v>
      </c>
      <c r="G292" s="2">
        <v>8</v>
      </c>
      <c r="H292" s="1">
        <v>9.8622078699257805E-8</v>
      </c>
      <c r="I292" s="1">
        <v>3.3995763988383199E-5</v>
      </c>
      <c r="J292" s="3">
        <v>5.2271198329999997</v>
      </c>
      <c r="K292" s="3">
        <v>2.5712875E-2</v>
      </c>
      <c r="L292" s="3">
        <v>11.674028709</v>
      </c>
    </row>
    <row r="293" spans="1:12" x14ac:dyDescent="0.2">
      <c r="A293" s="2">
        <v>6</v>
      </c>
      <c r="B293" s="2">
        <v>64</v>
      </c>
      <c r="C293" s="2">
        <v>64</v>
      </c>
      <c r="D293" s="2">
        <v>92</v>
      </c>
      <c r="E293" s="4">
        <v>2.2901670000000001E-3</v>
      </c>
      <c r="F293" s="4">
        <v>1.880458E-3</v>
      </c>
      <c r="G293" s="2">
        <v>8</v>
      </c>
      <c r="H293" s="1">
        <v>9.74129243549051E-8</v>
      </c>
      <c r="I293" s="1">
        <v>3.4379608003320397E-5</v>
      </c>
      <c r="J293" s="3">
        <v>5.2271198329999997</v>
      </c>
      <c r="K293" s="3">
        <v>2.5712875E-2</v>
      </c>
      <c r="L293" s="3">
        <v>11.674028709</v>
      </c>
    </row>
    <row r="294" spans="1:12" x14ac:dyDescent="0.2">
      <c r="A294" s="2">
        <v>6</v>
      </c>
      <c r="B294" s="2">
        <v>64</v>
      </c>
      <c r="C294" s="2">
        <v>64</v>
      </c>
      <c r="D294" s="2">
        <v>93</v>
      </c>
      <c r="E294" s="4">
        <v>2.3708750000000002E-3</v>
      </c>
      <c r="F294" s="4">
        <v>1.9389590000000001E-3</v>
      </c>
      <c r="G294" s="2">
        <v>8</v>
      </c>
      <c r="H294" s="1">
        <v>9.6229123824034207E-8</v>
      </c>
      <c r="I294" s="1">
        <v>3.4765994408866797E-5</v>
      </c>
      <c r="J294" s="3">
        <v>5.2271198329999997</v>
      </c>
      <c r="K294" s="3">
        <v>2.5712875E-2</v>
      </c>
      <c r="L294" s="3">
        <v>11.674028709</v>
      </c>
    </row>
    <row r="295" spans="1:12" x14ac:dyDescent="0.2">
      <c r="A295" s="2">
        <v>6</v>
      </c>
      <c r="B295" s="2">
        <v>64</v>
      </c>
      <c r="C295" s="2">
        <v>64</v>
      </c>
      <c r="D295" s="2">
        <v>94</v>
      </c>
      <c r="E295" s="4">
        <v>2.3765000000000001E-3</v>
      </c>
      <c r="F295" s="4">
        <v>1.7505419999999999E-3</v>
      </c>
      <c r="G295" s="2">
        <v>8</v>
      </c>
      <c r="H295" s="1">
        <v>9.5069916303475404E-8</v>
      </c>
      <c r="I295" s="1">
        <v>3.5154945754576598E-5</v>
      </c>
      <c r="J295" s="3">
        <v>5.2271198329999997</v>
      </c>
      <c r="K295" s="3">
        <v>2.5712875E-2</v>
      </c>
      <c r="L295" s="3">
        <v>11.674028709</v>
      </c>
    </row>
    <row r="296" spans="1:12" x14ac:dyDescent="0.2">
      <c r="A296" s="2">
        <v>6</v>
      </c>
      <c r="B296" s="2">
        <v>64</v>
      </c>
      <c r="C296" s="2">
        <v>64</v>
      </c>
      <c r="D296" s="2">
        <v>95</v>
      </c>
      <c r="E296" s="4">
        <v>2.5149590000000002E-3</v>
      </c>
      <c r="F296" s="4">
        <v>2.2177500000000001E-3</v>
      </c>
      <c r="G296" s="2">
        <v>8</v>
      </c>
      <c r="H296" s="1">
        <v>9.3934563002831899E-8</v>
      </c>
      <c r="I296" s="1">
        <v>3.5546474626225998E-5</v>
      </c>
      <c r="J296" s="3">
        <v>5.2271198329999997</v>
      </c>
      <c r="K296" s="3">
        <v>2.5712875E-2</v>
      </c>
      <c r="L296" s="3">
        <v>11.674028709</v>
      </c>
    </row>
    <row r="297" spans="1:12" x14ac:dyDescent="0.2">
      <c r="A297" s="2">
        <v>6</v>
      </c>
      <c r="B297" s="2">
        <v>64</v>
      </c>
      <c r="C297" s="2">
        <v>64</v>
      </c>
      <c r="D297" s="2">
        <v>96</v>
      </c>
      <c r="E297" s="4">
        <v>2.4263750000000001E-3</v>
      </c>
      <c r="F297" s="4">
        <v>2.0924170000000001E-3</v>
      </c>
      <c r="G297" s="2">
        <v>8</v>
      </c>
      <c r="H297" s="1">
        <v>9.2822347872887804E-8</v>
      </c>
      <c r="I297" s="1">
        <v>3.5940584506639302E-5</v>
      </c>
      <c r="J297" s="3">
        <v>5.2271198329999997</v>
      </c>
      <c r="K297" s="3">
        <v>2.5712875E-2</v>
      </c>
      <c r="L297" s="3">
        <v>11.674028709</v>
      </c>
    </row>
    <row r="298" spans="1:12" x14ac:dyDescent="0.2">
      <c r="A298" s="2">
        <v>6</v>
      </c>
      <c r="B298" s="2">
        <v>64</v>
      </c>
      <c r="C298" s="2">
        <v>64</v>
      </c>
      <c r="D298" s="2">
        <v>97</v>
      </c>
      <c r="E298" s="4">
        <v>2.3940419999999999E-3</v>
      </c>
      <c r="F298" s="4">
        <v>1.860916E-3</v>
      </c>
      <c r="G298" s="2">
        <v>8</v>
      </c>
      <c r="H298" s="1">
        <v>9.1732578609404494E-8</v>
      </c>
      <c r="I298" s="1">
        <v>3.6337270794147998E-5</v>
      </c>
      <c r="J298" s="3">
        <v>5.2271198329999997</v>
      </c>
      <c r="K298" s="3">
        <v>2.5712875E-2</v>
      </c>
      <c r="L298" s="3">
        <v>11.674028709</v>
      </c>
    </row>
    <row r="299" spans="1:12" x14ac:dyDescent="0.2">
      <c r="A299" s="2">
        <v>6</v>
      </c>
      <c r="B299" s="2">
        <v>64</v>
      </c>
      <c r="C299" s="2">
        <v>64</v>
      </c>
      <c r="D299" s="2">
        <v>98</v>
      </c>
      <c r="E299" s="4">
        <v>2.4408749999999999E-3</v>
      </c>
      <c r="F299" s="4">
        <v>1.7956249999999999E-3</v>
      </c>
      <c r="G299" s="2">
        <v>8</v>
      </c>
      <c r="H299" s="1">
        <v>9.0664587327542594E-8</v>
      </c>
      <c r="I299" s="1">
        <v>3.6736521755023601E-5</v>
      </c>
      <c r="J299" s="3">
        <v>5.2271198329999997</v>
      </c>
      <c r="K299" s="3">
        <v>2.5712875E-2</v>
      </c>
      <c r="L299" s="3">
        <v>11.674028709</v>
      </c>
    </row>
    <row r="300" spans="1:12" x14ac:dyDescent="0.2">
      <c r="A300" s="2">
        <v>6</v>
      </c>
      <c r="B300" s="2">
        <v>64</v>
      </c>
      <c r="C300" s="2">
        <v>64</v>
      </c>
      <c r="D300" s="2">
        <v>99</v>
      </c>
      <c r="E300" s="4">
        <v>2.2661249999999999E-3</v>
      </c>
      <c r="F300" s="4">
        <v>1.7974169999999999E-3</v>
      </c>
      <c r="G300" s="2">
        <v>8</v>
      </c>
      <c r="H300" s="1">
        <v>8.9617730749508395E-8</v>
      </c>
      <c r="I300" s="1">
        <v>3.7138319328328397E-5</v>
      </c>
      <c r="J300" s="3">
        <v>5.2271198329999997</v>
      </c>
      <c r="K300" s="3">
        <v>2.5712875E-2</v>
      </c>
      <c r="L300" s="3">
        <v>11.674028709</v>
      </c>
    </row>
    <row r="301" spans="1:12" x14ac:dyDescent="0.2">
      <c r="A301" s="2">
        <v>6</v>
      </c>
      <c r="B301" s="2">
        <v>64</v>
      </c>
      <c r="C301" s="2">
        <v>64</v>
      </c>
      <c r="D301" s="2">
        <v>100</v>
      </c>
      <c r="E301" s="4">
        <v>2.2815410000000002E-3</v>
      </c>
      <c r="F301" s="4">
        <v>1.7900839999999999E-3</v>
      </c>
      <c r="G301" s="2">
        <v>8</v>
      </c>
      <c r="H301" s="1">
        <v>8.8591389969477698E-8</v>
      </c>
      <c r="I301" s="1">
        <v>3.7542639782464902E-5</v>
      </c>
      <c r="J301" s="3">
        <v>5.2271198329999997</v>
      </c>
      <c r="K301" s="3">
        <v>2.5712875E-2</v>
      </c>
      <c r="L301" s="3">
        <v>11.674028709</v>
      </c>
    </row>
    <row r="302" spans="1:12" x14ac:dyDescent="0.2">
      <c r="A302" s="2">
        <v>7</v>
      </c>
      <c r="B302" s="2">
        <v>128</v>
      </c>
      <c r="C302" s="2">
        <v>128</v>
      </c>
      <c r="D302" s="2">
        <v>1</v>
      </c>
      <c r="E302" s="4">
        <v>3.2760333000000003E-2</v>
      </c>
      <c r="F302" s="4">
        <v>4.8143750000000001E-3</v>
      </c>
      <c r="G302" s="2">
        <v>6</v>
      </c>
      <c r="H302" s="1">
        <v>6.0426238862603198E-13</v>
      </c>
      <c r="I302" s="1">
        <v>3.7278826848147901E-14</v>
      </c>
      <c r="J302" s="3">
        <v>5.9458342499999999</v>
      </c>
      <c r="K302" s="3">
        <v>9.2080840000000001E-3</v>
      </c>
      <c r="L302" s="3">
        <v>22.453392874999999</v>
      </c>
    </row>
    <row r="303" spans="1:12" x14ac:dyDescent="0.2">
      <c r="A303" s="2">
        <v>7</v>
      </c>
      <c r="B303" s="2">
        <v>128</v>
      </c>
      <c r="C303" s="2">
        <v>128</v>
      </c>
      <c r="D303" s="2">
        <v>2</v>
      </c>
      <c r="E303" s="4">
        <v>0.692526792</v>
      </c>
      <c r="F303" s="4">
        <v>8.2622080000000001E-3</v>
      </c>
      <c r="G303" s="2">
        <v>10</v>
      </c>
      <c r="H303" s="1">
        <v>4.2923871627661098E-13</v>
      </c>
      <c r="I303" s="1">
        <v>7.5023728991245496E-14</v>
      </c>
      <c r="J303" s="3">
        <v>5.9458342499999999</v>
      </c>
      <c r="K303" s="3">
        <v>9.2080840000000001E-3</v>
      </c>
      <c r="L303" s="3">
        <v>22.453392874999999</v>
      </c>
    </row>
    <row r="304" spans="1:12" x14ac:dyDescent="0.2">
      <c r="A304" s="2">
        <v>7</v>
      </c>
      <c r="B304" s="2">
        <v>128</v>
      </c>
      <c r="C304" s="2">
        <v>128</v>
      </c>
      <c r="D304" s="2">
        <v>3</v>
      </c>
      <c r="E304" s="4">
        <v>4.0979000000000002E-2</v>
      </c>
      <c r="F304" s="4">
        <v>2.5704083999999999E-2</v>
      </c>
      <c r="G304" s="2">
        <v>14</v>
      </c>
      <c r="H304" s="1">
        <v>1.5074237944663099E-6</v>
      </c>
      <c r="I304" s="1">
        <v>5.2944495865182996E-7</v>
      </c>
      <c r="J304" s="3">
        <v>5.9458342499999999</v>
      </c>
      <c r="K304" s="3">
        <v>9.2080840000000001E-3</v>
      </c>
      <c r="L304" s="3">
        <v>22.453392874999999</v>
      </c>
    </row>
    <row r="305" spans="1:12" x14ac:dyDescent="0.2">
      <c r="A305" s="2">
        <v>7</v>
      </c>
      <c r="B305" s="2">
        <v>128</v>
      </c>
      <c r="C305" s="2">
        <v>128</v>
      </c>
      <c r="D305" s="2">
        <v>4</v>
      </c>
      <c r="E305" s="4">
        <v>3.5388375E-2</v>
      </c>
      <c r="F305" s="4">
        <v>6.9165420000000003E-3</v>
      </c>
      <c r="G305" s="2">
        <v>14</v>
      </c>
      <c r="H305" s="1">
        <v>2.1901036477901498E-6</v>
      </c>
      <c r="I305" s="1">
        <v>1.2781487537152399E-6</v>
      </c>
      <c r="J305" s="3">
        <v>5.9458342499999999</v>
      </c>
      <c r="K305" s="3">
        <v>9.2080840000000001E-3</v>
      </c>
      <c r="L305" s="3">
        <v>22.453392874999999</v>
      </c>
    </row>
    <row r="306" spans="1:12" x14ac:dyDescent="0.2">
      <c r="A306" s="2">
        <v>7</v>
      </c>
      <c r="B306" s="2">
        <v>128</v>
      </c>
      <c r="C306" s="2">
        <v>128</v>
      </c>
      <c r="D306" s="2">
        <v>5</v>
      </c>
      <c r="E306" s="4">
        <v>3.1996458999999998E-2</v>
      </c>
      <c r="F306" s="4">
        <v>7.5482910000000004E-3</v>
      </c>
      <c r="G306" s="2">
        <v>15</v>
      </c>
      <c r="H306" s="1">
        <v>2.5288410036024001E-6</v>
      </c>
      <c r="I306" s="1">
        <v>2.1653829357637799E-6</v>
      </c>
      <c r="J306" s="3">
        <v>5.9458342499999999</v>
      </c>
      <c r="K306" s="3">
        <v>9.2080840000000001E-3</v>
      </c>
      <c r="L306" s="3">
        <v>22.453392874999999</v>
      </c>
    </row>
    <row r="307" spans="1:12" x14ac:dyDescent="0.2">
      <c r="A307" s="2">
        <v>7</v>
      </c>
      <c r="B307" s="2">
        <v>128</v>
      </c>
      <c r="C307" s="2">
        <v>128</v>
      </c>
      <c r="D307" s="2">
        <v>6</v>
      </c>
      <c r="E307" s="4">
        <v>3.7228749999999998E-2</v>
      </c>
      <c r="F307" s="4">
        <v>3.2815409999999998E-3</v>
      </c>
      <c r="G307" s="2">
        <v>16</v>
      </c>
      <c r="H307" s="1">
        <v>2.3716296753880602E-6</v>
      </c>
      <c r="I307" s="1">
        <v>2.6930055365643798E-6</v>
      </c>
      <c r="J307" s="3">
        <v>5.9458342499999999</v>
      </c>
      <c r="K307" s="3">
        <v>9.2080840000000001E-3</v>
      </c>
      <c r="L307" s="3">
        <v>22.453392874999999</v>
      </c>
    </row>
    <row r="308" spans="1:12" x14ac:dyDescent="0.2">
      <c r="A308" s="2">
        <v>7</v>
      </c>
      <c r="B308" s="2">
        <v>128</v>
      </c>
      <c r="C308" s="2">
        <v>128</v>
      </c>
      <c r="D308" s="2">
        <v>7</v>
      </c>
      <c r="E308" s="4">
        <v>3.0660666999999999E-2</v>
      </c>
      <c r="F308" s="4">
        <v>3.2495419999999998E-3</v>
      </c>
      <c r="G308" s="2">
        <v>16</v>
      </c>
      <c r="H308" s="1">
        <v>2.0583656787801401E-6</v>
      </c>
      <c r="I308" s="1">
        <v>2.88496803595703E-6</v>
      </c>
      <c r="J308" s="3">
        <v>5.9458342499999999</v>
      </c>
      <c r="K308" s="3">
        <v>9.2080840000000001E-3</v>
      </c>
      <c r="L308" s="3">
        <v>22.453392874999999</v>
      </c>
    </row>
    <row r="309" spans="1:12" x14ac:dyDescent="0.2">
      <c r="A309" s="2">
        <v>7</v>
      </c>
      <c r="B309" s="2">
        <v>128</v>
      </c>
      <c r="C309" s="2">
        <v>128</v>
      </c>
      <c r="D309" s="2">
        <v>8</v>
      </c>
      <c r="E309" s="4">
        <v>3.5973625000000002E-2</v>
      </c>
      <c r="F309" s="4">
        <v>3.052917E-3</v>
      </c>
      <c r="G309" s="2">
        <v>16</v>
      </c>
      <c r="H309" s="1">
        <v>2.0123707620624899E-6</v>
      </c>
      <c r="I309" s="1">
        <v>3.3365271731597199E-6</v>
      </c>
      <c r="J309" s="3">
        <v>5.9458342499999999</v>
      </c>
      <c r="K309" s="3">
        <v>9.2080840000000001E-3</v>
      </c>
      <c r="L309" s="3">
        <v>22.453392874999999</v>
      </c>
    </row>
    <row r="310" spans="1:12" x14ac:dyDescent="0.2">
      <c r="A310" s="2">
        <v>7</v>
      </c>
      <c r="B310" s="2">
        <v>128</v>
      </c>
      <c r="C310" s="2">
        <v>128</v>
      </c>
      <c r="D310" s="2">
        <v>9</v>
      </c>
      <c r="E310" s="4">
        <v>0.39201716599999997</v>
      </c>
      <c r="F310" s="4">
        <v>4.8067090000000002E-3</v>
      </c>
      <c r="G310" s="2">
        <v>16</v>
      </c>
      <c r="H310" s="1">
        <v>1.7396036290905499E-6</v>
      </c>
      <c r="I310" s="1">
        <v>3.3346035751237102E-6</v>
      </c>
      <c r="J310" s="3">
        <v>5.9458342499999999</v>
      </c>
      <c r="K310" s="3">
        <v>9.2080840000000001E-3</v>
      </c>
      <c r="L310" s="3">
        <v>22.453392874999999</v>
      </c>
    </row>
    <row r="311" spans="1:12" x14ac:dyDescent="0.2">
      <c r="A311" s="2">
        <v>7</v>
      </c>
      <c r="B311" s="2">
        <v>128</v>
      </c>
      <c r="C311" s="2">
        <v>128</v>
      </c>
      <c r="D311" s="2">
        <v>10</v>
      </c>
      <c r="E311" s="4">
        <v>4.1166957999999997E-2</v>
      </c>
      <c r="F311" s="4">
        <v>3.1810829999999999E-3</v>
      </c>
      <c r="G311" s="2">
        <v>16</v>
      </c>
      <c r="H311" s="1">
        <v>1.49186536789695E-6</v>
      </c>
      <c r="I311" s="1">
        <v>3.2655792748815598E-6</v>
      </c>
      <c r="J311" s="3">
        <v>5.9458342499999999</v>
      </c>
      <c r="K311" s="3">
        <v>9.2080840000000001E-3</v>
      </c>
      <c r="L311" s="3">
        <v>22.453392874999999</v>
      </c>
    </row>
    <row r="312" spans="1:12" x14ac:dyDescent="0.2">
      <c r="A312" s="2">
        <v>7</v>
      </c>
      <c r="B312" s="2">
        <v>128</v>
      </c>
      <c r="C312" s="2">
        <v>128</v>
      </c>
      <c r="D312" s="2">
        <v>11</v>
      </c>
      <c r="E312" s="4">
        <v>3.0023542E-2</v>
      </c>
      <c r="F312" s="4">
        <v>3.1253750000000001E-3</v>
      </c>
      <c r="G312" s="2">
        <v>16</v>
      </c>
      <c r="H312" s="1">
        <v>1.3502009413724799E-6</v>
      </c>
      <c r="I312" s="1">
        <v>3.3509248360115602E-6</v>
      </c>
      <c r="J312" s="3">
        <v>5.9458342499999999</v>
      </c>
      <c r="K312" s="3">
        <v>9.2080840000000001E-3</v>
      </c>
      <c r="L312" s="3">
        <v>22.453392874999999</v>
      </c>
    </row>
    <row r="313" spans="1:12" x14ac:dyDescent="0.2">
      <c r="A313" s="2">
        <v>7</v>
      </c>
      <c r="B313" s="2">
        <v>128</v>
      </c>
      <c r="C313" s="2">
        <v>128</v>
      </c>
      <c r="D313" s="2">
        <v>12</v>
      </c>
      <c r="E313" s="4">
        <v>3.2310083000000003E-2</v>
      </c>
      <c r="F313" s="4">
        <v>3.8497079999999999E-3</v>
      </c>
      <c r="G313" s="2">
        <v>16</v>
      </c>
      <c r="H313" s="1">
        <v>1.23637486917069E-6</v>
      </c>
      <c r="I313" s="1">
        <v>3.4630343156528398E-6</v>
      </c>
      <c r="J313" s="3">
        <v>5.9458342499999999</v>
      </c>
      <c r="K313" s="3">
        <v>9.2080840000000001E-3</v>
      </c>
      <c r="L313" s="3">
        <v>22.453392874999999</v>
      </c>
    </row>
    <row r="314" spans="1:12" x14ac:dyDescent="0.2">
      <c r="A314" s="2">
        <v>7</v>
      </c>
      <c r="B314" s="2">
        <v>128</v>
      </c>
      <c r="C314" s="2">
        <v>128</v>
      </c>
      <c r="D314" s="2">
        <v>13</v>
      </c>
      <c r="E314" s="4">
        <v>2.96925E-2</v>
      </c>
      <c r="F314" s="4">
        <v>2.9954169999999998E-3</v>
      </c>
      <c r="G314" s="2">
        <v>16</v>
      </c>
      <c r="H314" s="1">
        <v>1.1417815724508399E-6</v>
      </c>
      <c r="I314" s="1">
        <v>3.5973892041354502E-6</v>
      </c>
      <c r="J314" s="3">
        <v>5.9458342499999999</v>
      </c>
      <c r="K314" s="3">
        <v>9.2080840000000001E-3</v>
      </c>
      <c r="L314" s="3">
        <v>22.453392874999999</v>
      </c>
    </row>
    <row r="315" spans="1:12" x14ac:dyDescent="0.2">
      <c r="A315" s="2">
        <v>7</v>
      </c>
      <c r="B315" s="2">
        <v>128</v>
      </c>
      <c r="C315" s="2">
        <v>128</v>
      </c>
      <c r="D315" s="2">
        <v>14</v>
      </c>
      <c r="E315" s="4">
        <v>3.2046333000000003E-2</v>
      </c>
      <c r="F315" s="4">
        <v>2.667291E-3</v>
      </c>
      <c r="G315" s="2">
        <v>16</v>
      </c>
      <c r="H315" s="1">
        <v>1.0954965787719901E-6</v>
      </c>
      <c r="I315" s="1">
        <v>3.8722179913118501E-6</v>
      </c>
      <c r="J315" s="3">
        <v>5.9458342499999999</v>
      </c>
      <c r="K315" s="3">
        <v>9.2080840000000001E-3</v>
      </c>
      <c r="L315" s="3">
        <v>22.453392874999999</v>
      </c>
    </row>
    <row r="316" spans="1:12" x14ac:dyDescent="0.2">
      <c r="A316" s="2">
        <v>7</v>
      </c>
      <c r="B316" s="2">
        <v>128</v>
      </c>
      <c r="C316" s="2">
        <v>128</v>
      </c>
      <c r="D316" s="2">
        <v>15</v>
      </c>
      <c r="E316" s="4">
        <v>3.1117334E-2</v>
      </c>
      <c r="F316" s="4">
        <v>3.05025E-3</v>
      </c>
      <c r="G316" s="2">
        <v>16</v>
      </c>
      <c r="H316" s="1">
        <v>1.0328061293251399E-6</v>
      </c>
      <c r="I316" s="1">
        <v>4.0861785142439503E-6</v>
      </c>
      <c r="J316" s="3">
        <v>5.9458342499999999</v>
      </c>
      <c r="K316" s="3">
        <v>9.2080840000000001E-3</v>
      </c>
      <c r="L316" s="3">
        <v>22.453392874999999</v>
      </c>
    </row>
    <row r="317" spans="1:12" x14ac:dyDescent="0.2">
      <c r="A317" s="2">
        <v>7</v>
      </c>
      <c r="B317" s="2">
        <v>128</v>
      </c>
      <c r="C317" s="2">
        <v>128</v>
      </c>
      <c r="D317" s="2">
        <v>16</v>
      </c>
      <c r="E317" s="4">
        <v>3.2837999999999999E-2</v>
      </c>
      <c r="F317" s="4">
        <v>2.8180829999999999E-3</v>
      </c>
      <c r="G317" s="2">
        <v>15</v>
      </c>
      <c r="H317" s="1">
        <v>9.7189403929286401E-7</v>
      </c>
      <c r="I317" s="1">
        <v>4.2949979226558401E-6</v>
      </c>
      <c r="J317" s="3">
        <v>5.9458342499999999</v>
      </c>
      <c r="K317" s="3">
        <v>9.2080840000000001E-3</v>
      </c>
      <c r="L317" s="3">
        <v>22.453392874999999</v>
      </c>
    </row>
    <row r="318" spans="1:12" x14ac:dyDescent="0.2">
      <c r="A318" s="2">
        <v>7</v>
      </c>
      <c r="B318" s="2">
        <v>128</v>
      </c>
      <c r="C318" s="2">
        <v>128</v>
      </c>
      <c r="D318" s="2">
        <v>17</v>
      </c>
      <c r="E318" s="4">
        <v>3.0197624999999999E-2</v>
      </c>
      <c r="F318" s="4">
        <v>2.7357919999999999E-3</v>
      </c>
      <c r="G318" s="2">
        <v>15</v>
      </c>
      <c r="H318" s="1">
        <v>9.1006040704015797E-7</v>
      </c>
      <c r="I318" s="1">
        <v>4.4833992607761299E-6</v>
      </c>
      <c r="J318" s="3">
        <v>5.9458342499999999</v>
      </c>
      <c r="K318" s="3">
        <v>9.2080840000000001E-3</v>
      </c>
      <c r="L318" s="3">
        <v>22.453392874999999</v>
      </c>
    </row>
    <row r="319" spans="1:12" x14ac:dyDescent="0.2">
      <c r="A319" s="2">
        <v>7</v>
      </c>
      <c r="B319" s="2">
        <v>128</v>
      </c>
      <c r="C319" s="2">
        <v>128</v>
      </c>
      <c r="D319" s="2">
        <v>18</v>
      </c>
      <c r="E319" s="4">
        <v>3.1942375000000002E-2</v>
      </c>
      <c r="F319" s="4">
        <v>2.5333833E-2</v>
      </c>
      <c r="G319" s="2">
        <v>15</v>
      </c>
      <c r="H319" s="1">
        <v>8.6139191155065105E-7</v>
      </c>
      <c r="I319" s="1">
        <v>4.7217984675287797E-6</v>
      </c>
      <c r="J319" s="3">
        <v>5.9458342499999999</v>
      </c>
      <c r="K319" s="3">
        <v>9.2080840000000001E-3</v>
      </c>
      <c r="L319" s="3">
        <v>22.453392874999999</v>
      </c>
    </row>
    <row r="320" spans="1:12" x14ac:dyDescent="0.2">
      <c r="A320" s="2">
        <v>7</v>
      </c>
      <c r="B320" s="2">
        <v>128</v>
      </c>
      <c r="C320" s="2">
        <v>128</v>
      </c>
      <c r="D320" s="2">
        <v>19</v>
      </c>
      <c r="E320" s="4">
        <v>2.8794E-2</v>
      </c>
      <c r="F320" s="4">
        <v>2.664708E-3</v>
      </c>
      <c r="G320" s="2">
        <v>15</v>
      </c>
      <c r="H320" s="1">
        <v>8.2058574327598301E-7</v>
      </c>
      <c r="I320" s="1">
        <v>4.9956286043310002E-6</v>
      </c>
      <c r="J320" s="3">
        <v>5.9458342499999999</v>
      </c>
      <c r="K320" s="3">
        <v>9.2080840000000001E-3</v>
      </c>
      <c r="L320" s="3">
        <v>22.453392874999999</v>
      </c>
    </row>
    <row r="321" spans="1:12" x14ac:dyDescent="0.2">
      <c r="A321" s="2">
        <v>7</v>
      </c>
      <c r="B321" s="2">
        <v>128</v>
      </c>
      <c r="C321" s="2">
        <v>128</v>
      </c>
      <c r="D321" s="2">
        <v>20</v>
      </c>
      <c r="E321" s="4">
        <v>3.1324084000000002E-2</v>
      </c>
      <c r="F321" s="4">
        <v>2.653791E-3</v>
      </c>
      <c r="G321" s="2">
        <v>14</v>
      </c>
      <c r="H321" s="1">
        <v>8.0567386013688901E-7</v>
      </c>
      <c r="I321" s="1">
        <v>5.4372433269654601E-6</v>
      </c>
      <c r="J321" s="3">
        <v>5.9458342499999999</v>
      </c>
      <c r="K321" s="3">
        <v>9.2080840000000001E-3</v>
      </c>
      <c r="L321" s="3">
        <v>22.453392874999999</v>
      </c>
    </row>
    <row r="322" spans="1:12" x14ac:dyDescent="0.2">
      <c r="A322" s="2">
        <v>7</v>
      </c>
      <c r="B322" s="2">
        <v>128</v>
      </c>
      <c r="C322" s="2">
        <v>128</v>
      </c>
      <c r="D322" s="2">
        <v>21</v>
      </c>
      <c r="E322" s="4">
        <v>2.8317624999999999E-2</v>
      </c>
      <c r="F322" s="4">
        <v>2.698958E-3</v>
      </c>
      <c r="G322" s="2">
        <v>14</v>
      </c>
      <c r="H322" s="1">
        <v>7.7767780315482305E-7</v>
      </c>
      <c r="I322" s="1">
        <v>5.80715181717018E-6</v>
      </c>
      <c r="J322" s="3">
        <v>5.9458342499999999</v>
      </c>
      <c r="K322" s="3">
        <v>9.2080840000000001E-3</v>
      </c>
      <c r="L322" s="3">
        <v>22.453392874999999</v>
      </c>
    </row>
    <row r="323" spans="1:12" x14ac:dyDescent="0.2">
      <c r="A323" s="2">
        <v>7</v>
      </c>
      <c r="B323" s="2">
        <v>128</v>
      </c>
      <c r="C323" s="2">
        <v>128</v>
      </c>
      <c r="D323" s="2">
        <v>22</v>
      </c>
      <c r="E323" s="4">
        <v>3.4632083000000001E-2</v>
      </c>
      <c r="F323" s="4">
        <v>2.6324999999999999E-3</v>
      </c>
      <c r="G323" s="2">
        <v>14</v>
      </c>
      <c r="H323" s="1">
        <v>7.4143713948941897E-7</v>
      </c>
      <c r="I323" s="1">
        <v>6.1145511333946703E-6</v>
      </c>
      <c r="J323" s="3">
        <v>5.9458342499999999</v>
      </c>
      <c r="K323" s="3">
        <v>9.2080840000000001E-3</v>
      </c>
      <c r="L323" s="3">
        <v>22.453392874999999</v>
      </c>
    </row>
    <row r="324" spans="1:12" x14ac:dyDescent="0.2">
      <c r="A324" s="2">
        <v>7</v>
      </c>
      <c r="B324" s="2">
        <v>128</v>
      </c>
      <c r="C324" s="2">
        <v>128</v>
      </c>
      <c r="D324" s="2">
        <v>23</v>
      </c>
      <c r="E324" s="4">
        <v>2.9409917000000001E-2</v>
      </c>
      <c r="F324" s="4">
        <v>2.4160840000000002E-3</v>
      </c>
      <c r="G324" s="2">
        <v>13</v>
      </c>
      <c r="H324" s="1">
        <v>7.1819230097815098E-7</v>
      </c>
      <c r="I324" s="1">
        <v>6.5287420009952499E-6</v>
      </c>
      <c r="J324" s="3">
        <v>5.9458342499999999</v>
      </c>
      <c r="K324" s="3">
        <v>9.2080840000000001E-3</v>
      </c>
      <c r="L324" s="3">
        <v>22.453392874999999</v>
      </c>
    </row>
    <row r="325" spans="1:12" x14ac:dyDescent="0.2">
      <c r="A325" s="2">
        <v>7</v>
      </c>
      <c r="B325" s="2">
        <v>128</v>
      </c>
      <c r="C325" s="2">
        <v>128</v>
      </c>
      <c r="D325" s="2">
        <v>24</v>
      </c>
      <c r="E325" s="4">
        <v>3.0846834E-2</v>
      </c>
      <c r="F325" s="4">
        <v>2.436625E-3</v>
      </c>
      <c r="G325" s="2">
        <v>13</v>
      </c>
      <c r="H325" s="1">
        <v>6.8965599607840399E-7</v>
      </c>
      <c r="I325" s="1">
        <v>6.8972911862014304E-6</v>
      </c>
      <c r="J325" s="3">
        <v>5.9458342499999999</v>
      </c>
      <c r="K325" s="3">
        <v>9.2080840000000001E-3</v>
      </c>
      <c r="L325" s="3">
        <v>22.453392874999999</v>
      </c>
    </row>
    <row r="326" spans="1:12" x14ac:dyDescent="0.2">
      <c r="A326" s="2">
        <v>7</v>
      </c>
      <c r="B326" s="2">
        <v>128</v>
      </c>
      <c r="C326" s="2">
        <v>128</v>
      </c>
      <c r="D326" s="2">
        <v>25</v>
      </c>
      <c r="E326" s="4">
        <v>3.0731749999999999E-2</v>
      </c>
      <c r="F326" s="4">
        <v>2.6952920000000002E-3</v>
      </c>
      <c r="G326" s="2">
        <v>13</v>
      </c>
      <c r="H326" s="1">
        <v>6.6486558140265697E-7</v>
      </c>
      <c r="I326" s="1">
        <v>7.3009941177162898E-6</v>
      </c>
      <c r="J326" s="3">
        <v>5.9458342499999999</v>
      </c>
      <c r="K326" s="3">
        <v>9.2080840000000001E-3</v>
      </c>
      <c r="L326" s="3">
        <v>22.453392874999999</v>
      </c>
    </row>
    <row r="327" spans="1:12" x14ac:dyDescent="0.2">
      <c r="A327" s="2">
        <v>7</v>
      </c>
      <c r="B327" s="2">
        <v>128</v>
      </c>
      <c r="C327" s="2">
        <v>128</v>
      </c>
      <c r="D327" s="2">
        <v>26</v>
      </c>
      <c r="E327" s="4">
        <v>2.8890958000000001E-2</v>
      </c>
      <c r="F327" s="4">
        <v>2.5533750000000001E-3</v>
      </c>
      <c r="G327" s="2">
        <v>13</v>
      </c>
      <c r="H327" s="1">
        <v>6.4303389317930496E-7</v>
      </c>
      <c r="I327" s="1">
        <v>7.73775255746225E-6</v>
      </c>
      <c r="J327" s="3">
        <v>5.9458342499999999</v>
      </c>
      <c r="K327" s="3">
        <v>9.2080840000000001E-3</v>
      </c>
      <c r="L327" s="3">
        <v>22.453392874999999</v>
      </c>
    </row>
    <row r="328" spans="1:12" x14ac:dyDescent="0.2">
      <c r="A328" s="2">
        <v>7</v>
      </c>
      <c r="B328" s="2">
        <v>128</v>
      </c>
      <c r="C328" s="2">
        <v>128</v>
      </c>
      <c r="D328" s="2">
        <v>27</v>
      </c>
      <c r="E328" s="4">
        <v>3.0992334E-2</v>
      </c>
      <c r="F328" s="4">
        <v>2.4023339999999999E-3</v>
      </c>
      <c r="G328" s="2">
        <v>13</v>
      </c>
      <c r="H328" s="1">
        <v>6.2353811245888096E-7</v>
      </c>
      <c r="I328" s="1">
        <v>8.2052905612729792E-6</v>
      </c>
      <c r="J328" s="3">
        <v>5.9458342499999999</v>
      </c>
      <c r="K328" s="3">
        <v>9.2080840000000001E-3</v>
      </c>
      <c r="L328" s="3">
        <v>22.453392874999999</v>
      </c>
    </row>
    <row r="329" spans="1:12" x14ac:dyDescent="0.2">
      <c r="A329" s="2">
        <v>7</v>
      </c>
      <c r="B329" s="2">
        <v>128</v>
      </c>
      <c r="C329" s="2">
        <v>128</v>
      </c>
      <c r="D329" s="2">
        <v>28</v>
      </c>
      <c r="E329" s="4">
        <v>3.0089542E-2</v>
      </c>
      <c r="F329" s="4">
        <v>2.483833E-3</v>
      </c>
      <c r="G329" s="2">
        <v>13</v>
      </c>
      <c r="H329" s="1">
        <v>6.0575525345375203E-7</v>
      </c>
      <c r="I329" s="1">
        <v>8.6992709085991604E-6</v>
      </c>
      <c r="J329" s="3">
        <v>5.9458342499999999</v>
      </c>
      <c r="K329" s="3">
        <v>9.2080840000000001E-3</v>
      </c>
      <c r="L329" s="3">
        <v>22.453392874999999</v>
      </c>
    </row>
    <row r="330" spans="1:12" x14ac:dyDescent="0.2">
      <c r="A330" s="2">
        <v>7</v>
      </c>
      <c r="B330" s="2">
        <v>128</v>
      </c>
      <c r="C330" s="2">
        <v>128</v>
      </c>
      <c r="D330" s="2">
        <v>29</v>
      </c>
      <c r="E330" s="4">
        <v>3.1612332999999999E-2</v>
      </c>
      <c r="F330" s="4">
        <v>2.4538749999999999E-3</v>
      </c>
      <c r="G330" s="2">
        <v>13</v>
      </c>
      <c r="H330" s="1">
        <v>5.8967607322899596E-7</v>
      </c>
      <c r="I330" s="1">
        <v>9.2224807810986597E-6</v>
      </c>
      <c r="J330" s="3">
        <v>5.9458342499999999</v>
      </c>
      <c r="K330" s="3">
        <v>9.2080840000000001E-3</v>
      </c>
      <c r="L330" s="3">
        <v>22.453392874999999</v>
      </c>
    </row>
    <row r="331" spans="1:12" x14ac:dyDescent="0.2">
      <c r="A331" s="2">
        <v>7</v>
      </c>
      <c r="B331" s="2">
        <v>128</v>
      </c>
      <c r="C331" s="2">
        <v>128</v>
      </c>
      <c r="D331" s="2">
        <v>30</v>
      </c>
      <c r="E331" s="4">
        <v>2.9229999999999999E-2</v>
      </c>
      <c r="F331" s="4">
        <v>2.469583E-3</v>
      </c>
      <c r="G331" s="2">
        <v>13</v>
      </c>
      <c r="H331" s="1">
        <v>5.7346535294379904E-7</v>
      </c>
      <c r="I331" s="1">
        <v>9.7470923245081308E-6</v>
      </c>
      <c r="J331" s="3">
        <v>5.9458342499999999</v>
      </c>
      <c r="K331" s="3">
        <v>9.2080840000000001E-3</v>
      </c>
      <c r="L331" s="3">
        <v>22.453392874999999</v>
      </c>
    </row>
    <row r="332" spans="1:12" x14ac:dyDescent="0.2">
      <c r="A332" s="2">
        <v>7</v>
      </c>
      <c r="B332" s="2">
        <v>128</v>
      </c>
      <c r="C332" s="2">
        <v>128</v>
      </c>
      <c r="D332" s="2">
        <v>31</v>
      </c>
      <c r="E332" s="4">
        <v>3.2430791E-2</v>
      </c>
      <c r="F332" s="4">
        <v>2.3977080000000001E-3</v>
      </c>
      <c r="G332" s="2">
        <v>13</v>
      </c>
      <c r="H332" s="1">
        <v>5.6022178482026595E-7</v>
      </c>
      <c r="I332" s="1">
        <v>1.03261898233407E-5</v>
      </c>
      <c r="J332" s="3">
        <v>5.9458342499999999</v>
      </c>
      <c r="K332" s="3">
        <v>9.2080840000000001E-3</v>
      </c>
      <c r="L332" s="3">
        <v>22.453392874999999</v>
      </c>
    </row>
    <row r="333" spans="1:12" x14ac:dyDescent="0.2">
      <c r="A333" s="2">
        <v>7</v>
      </c>
      <c r="B333" s="2">
        <v>128</v>
      </c>
      <c r="C333" s="2">
        <v>128</v>
      </c>
      <c r="D333" s="2">
        <v>32</v>
      </c>
      <c r="E333" s="4">
        <v>2.9964542E-2</v>
      </c>
      <c r="F333" s="4">
        <v>2.670291E-3</v>
      </c>
      <c r="G333" s="2">
        <v>13</v>
      </c>
      <c r="H333" s="1">
        <v>5.4538255757333197E-7</v>
      </c>
      <c r="I333" s="1">
        <v>1.08784809610093E-5</v>
      </c>
      <c r="J333" s="3">
        <v>5.9458342499999999</v>
      </c>
      <c r="K333" s="3">
        <v>9.2080840000000001E-3</v>
      </c>
      <c r="L333" s="3">
        <v>22.453392874999999</v>
      </c>
    </row>
    <row r="334" spans="1:12" x14ac:dyDescent="0.2">
      <c r="A334" s="2">
        <v>7</v>
      </c>
      <c r="B334" s="2">
        <v>128</v>
      </c>
      <c r="C334" s="2">
        <v>128</v>
      </c>
      <c r="D334" s="2">
        <v>33</v>
      </c>
      <c r="E334" s="4">
        <v>3.2026541999999998E-2</v>
      </c>
      <c r="F334" s="4">
        <v>2.4280830000000002E-3</v>
      </c>
      <c r="G334" s="2">
        <v>13</v>
      </c>
      <c r="H334" s="1">
        <v>5.3140416469082098E-7</v>
      </c>
      <c r="I334" s="1">
        <v>1.1445965601835901E-5</v>
      </c>
      <c r="J334" s="3">
        <v>5.9458342499999999</v>
      </c>
      <c r="K334" s="3">
        <v>9.2080840000000001E-3</v>
      </c>
      <c r="L334" s="3">
        <v>22.453392874999999</v>
      </c>
    </row>
    <row r="335" spans="1:12" x14ac:dyDescent="0.2">
      <c r="A335" s="2">
        <v>7</v>
      </c>
      <c r="B335" s="2">
        <v>128</v>
      </c>
      <c r="C335" s="2">
        <v>128</v>
      </c>
      <c r="D335" s="2">
        <v>34</v>
      </c>
      <c r="E335" s="4">
        <v>3.1054249999999999E-2</v>
      </c>
      <c r="F335" s="4">
        <v>2.4715829999999999E-3</v>
      </c>
      <c r="G335" s="2">
        <v>13</v>
      </c>
      <c r="H335" s="1">
        <v>5.1812496388685704E-7</v>
      </c>
      <c r="I335" s="1">
        <v>1.2025352509477199E-5</v>
      </c>
      <c r="J335" s="3">
        <v>5.9458342499999999</v>
      </c>
      <c r="K335" s="3">
        <v>9.2080840000000001E-3</v>
      </c>
      <c r="L335" s="3">
        <v>22.453392874999999</v>
      </c>
    </row>
    <row r="336" spans="1:12" x14ac:dyDescent="0.2">
      <c r="A336" s="2">
        <v>7</v>
      </c>
      <c r="B336" s="2">
        <v>128</v>
      </c>
      <c r="C336" s="2">
        <v>128</v>
      </c>
      <c r="D336" s="2">
        <v>35</v>
      </c>
      <c r="E336" s="4">
        <v>3.1528541E-2</v>
      </c>
      <c r="F336" s="4">
        <v>2.4087499999999999E-3</v>
      </c>
      <c r="G336" s="2">
        <v>13</v>
      </c>
      <c r="H336" s="1">
        <v>5.0543194306865996E-7</v>
      </c>
      <c r="I336" s="1">
        <v>1.26136813347194E-5</v>
      </c>
      <c r="J336" s="3">
        <v>5.9458342499999999</v>
      </c>
      <c r="K336" s="3">
        <v>9.2080840000000001E-3</v>
      </c>
      <c r="L336" s="3">
        <v>22.453392874999999</v>
      </c>
    </row>
    <row r="337" spans="1:12" x14ac:dyDescent="0.2">
      <c r="A337" s="2">
        <v>7</v>
      </c>
      <c r="B337" s="2">
        <v>128</v>
      </c>
      <c r="C337" s="2">
        <v>128</v>
      </c>
      <c r="D337" s="2">
        <v>36</v>
      </c>
      <c r="E337" s="4">
        <v>3.0602875000000002E-2</v>
      </c>
      <c r="F337" s="4">
        <v>0.13178379100000001</v>
      </c>
      <c r="G337" s="2">
        <v>13</v>
      </c>
      <c r="H337" s="1">
        <v>4.8938774141270095E-7</v>
      </c>
      <c r="I337" s="1">
        <v>1.31049635291565E-5</v>
      </c>
      <c r="J337" s="3">
        <v>5.9458342499999999</v>
      </c>
      <c r="K337" s="3">
        <v>9.2080840000000001E-3</v>
      </c>
      <c r="L337" s="3">
        <v>22.453392874999999</v>
      </c>
    </row>
    <row r="338" spans="1:12" x14ac:dyDescent="0.2">
      <c r="A338" s="2">
        <v>7</v>
      </c>
      <c r="B338" s="2">
        <v>128</v>
      </c>
      <c r="C338" s="2">
        <v>128</v>
      </c>
      <c r="D338" s="2">
        <v>37</v>
      </c>
      <c r="E338" s="4">
        <v>3.2296917000000001E-2</v>
      </c>
      <c r="F338" s="4">
        <v>2.5141249999999999E-3</v>
      </c>
      <c r="G338" s="2">
        <v>13</v>
      </c>
      <c r="H338" s="1">
        <v>4.7453006224125601E-7</v>
      </c>
      <c r="I338" s="1">
        <v>1.36065557318401E-5</v>
      </c>
      <c r="J338" s="3">
        <v>5.9458342499999999</v>
      </c>
      <c r="K338" s="3">
        <v>9.2080840000000001E-3</v>
      </c>
      <c r="L338" s="3">
        <v>22.453392874999999</v>
      </c>
    </row>
    <row r="339" spans="1:12" x14ac:dyDescent="0.2">
      <c r="A339" s="2">
        <v>7</v>
      </c>
      <c r="B339" s="2">
        <v>128</v>
      </c>
      <c r="C339" s="2">
        <v>128</v>
      </c>
      <c r="D339" s="2">
        <v>38</v>
      </c>
      <c r="E339" s="4">
        <v>3.0219958000000002E-2</v>
      </c>
      <c r="F339" s="4">
        <v>2.7624170000000001E-3</v>
      </c>
      <c r="G339" s="2">
        <v>13</v>
      </c>
      <c r="H339" s="1">
        <v>4.6146760832517602E-7</v>
      </c>
      <c r="I339" s="1">
        <v>1.41396565768003E-5</v>
      </c>
      <c r="J339" s="3">
        <v>5.9458342499999999</v>
      </c>
      <c r="K339" s="3">
        <v>9.2080840000000001E-3</v>
      </c>
      <c r="L339" s="3">
        <v>22.453392874999999</v>
      </c>
    </row>
    <row r="340" spans="1:12" x14ac:dyDescent="0.2">
      <c r="A340" s="2">
        <v>7</v>
      </c>
      <c r="B340" s="2">
        <v>128</v>
      </c>
      <c r="C340" s="2">
        <v>128</v>
      </c>
      <c r="D340" s="2">
        <v>39</v>
      </c>
      <c r="E340" s="4">
        <v>3.1843207999999998E-2</v>
      </c>
      <c r="F340" s="4">
        <v>4.8882500000000002E-3</v>
      </c>
      <c r="G340" s="2">
        <v>13</v>
      </c>
      <c r="H340" s="1">
        <v>4.49405522106446E-7</v>
      </c>
      <c r="I340" s="1">
        <v>1.4685084811076599E-5</v>
      </c>
      <c r="J340" s="3">
        <v>5.9458342499999999</v>
      </c>
      <c r="K340" s="3">
        <v>9.2080840000000001E-3</v>
      </c>
      <c r="L340" s="3">
        <v>22.453392874999999</v>
      </c>
    </row>
    <row r="341" spans="1:12" x14ac:dyDescent="0.2">
      <c r="A341" s="2">
        <v>7</v>
      </c>
      <c r="B341" s="2">
        <v>128</v>
      </c>
      <c r="C341" s="2">
        <v>128</v>
      </c>
      <c r="D341" s="2">
        <v>40</v>
      </c>
      <c r="E341" s="4">
        <v>2.8797791999999999E-2</v>
      </c>
      <c r="F341" s="4">
        <v>2.7339170000000002E-3</v>
      </c>
      <c r="G341" s="2">
        <v>13</v>
      </c>
      <c r="H341" s="1">
        <v>4.3796993061451802E-7</v>
      </c>
      <c r="I341" s="1">
        <v>1.52323967451071E-5</v>
      </c>
      <c r="J341" s="3">
        <v>5.9458342499999999</v>
      </c>
      <c r="K341" s="3">
        <v>9.2080840000000001E-3</v>
      </c>
      <c r="L341" s="3">
        <v>22.453392874999999</v>
      </c>
    </row>
    <row r="342" spans="1:12" x14ac:dyDescent="0.2">
      <c r="A342" s="2">
        <v>7</v>
      </c>
      <c r="B342" s="2">
        <v>128</v>
      </c>
      <c r="C342" s="2">
        <v>128</v>
      </c>
      <c r="D342" s="2">
        <v>41</v>
      </c>
      <c r="E342" s="4">
        <v>3.2651624999999997E-2</v>
      </c>
      <c r="F342" s="4">
        <v>2.5054999999999999E-3</v>
      </c>
      <c r="G342" s="2">
        <v>13</v>
      </c>
      <c r="H342" s="1">
        <v>4.26986528417068E-7</v>
      </c>
      <c r="I342" s="1">
        <v>1.57757460701395E-5</v>
      </c>
      <c r="J342" s="3">
        <v>5.9458342499999999</v>
      </c>
      <c r="K342" s="3">
        <v>9.2080840000000001E-3</v>
      </c>
      <c r="L342" s="3">
        <v>22.453392874999999</v>
      </c>
    </row>
    <row r="343" spans="1:12" x14ac:dyDescent="0.2">
      <c r="A343" s="2">
        <v>7</v>
      </c>
      <c r="B343" s="2">
        <v>128</v>
      </c>
      <c r="C343" s="2">
        <v>128</v>
      </c>
      <c r="D343" s="2">
        <v>42</v>
      </c>
      <c r="E343" s="4">
        <v>3.0985875E-2</v>
      </c>
      <c r="F343" s="4">
        <v>2.4044159999999999E-3</v>
      </c>
      <c r="G343" s="2">
        <v>13</v>
      </c>
      <c r="H343" s="1">
        <v>4.1638904895588401E-7</v>
      </c>
      <c r="I343" s="1">
        <v>1.6312295143352601E-5</v>
      </c>
      <c r="J343" s="3">
        <v>5.9458342499999999</v>
      </c>
      <c r="K343" s="3">
        <v>9.2080840000000001E-3</v>
      </c>
      <c r="L343" s="3">
        <v>22.453392874999999</v>
      </c>
    </row>
    <row r="344" spans="1:12" x14ac:dyDescent="0.2">
      <c r="A344" s="2">
        <v>7</v>
      </c>
      <c r="B344" s="2">
        <v>128</v>
      </c>
      <c r="C344" s="2">
        <v>128</v>
      </c>
      <c r="D344" s="2">
        <v>43</v>
      </c>
      <c r="E344" s="4">
        <v>3.2861750000000002E-2</v>
      </c>
      <c r="F344" s="4">
        <v>2.8284170000000002E-3</v>
      </c>
      <c r="G344" s="2">
        <v>13</v>
      </c>
      <c r="H344" s="1">
        <v>4.0617046319090601E-7</v>
      </c>
      <c r="I344" s="1">
        <v>1.6841332707361299E-5</v>
      </c>
      <c r="J344" s="3">
        <v>5.9458342499999999</v>
      </c>
      <c r="K344" s="3">
        <v>9.2080840000000001E-3</v>
      </c>
      <c r="L344" s="3">
        <v>22.453392874999999</v>
      </c>
    </row>
    <row r="345" spans="1:12" x14ac:dyDescent="0.2">
      <c r="A345" s="2">
        <v>7</v>
      </c>
      <c r="B345" s="2">
        <v>128</v>
      </c>
      <c r="C345" s="2">
        <v>128</v>
      </c>
      <c r="D345" s="2">
        <v>44</v>
      </c>
      <c r="E345" s="4">
        <v>3.1329750000000003E-2</v>
      </c>
      <c r="F345" s="4">
        <v>2.936625E-3</v>
      </c>
      <c r="G345" s="2">
        <v>12</v>
      </c>
      <c r="H345" s="1">
        <v>3.9688237055426597E-7</v>
      </c>
      <c r="I345" s="1">
        <v>1.7386816601780502E-5</v>
      </c>
      <c r="J345" s="3">
        <v>5.9458342499999999</v>
      </c>
      <c r="K345" s="3">
        <v>9.2080840000000001E-3</v>
      </c>
      <c r="L345" s="3">
        <v>22.453392874999999</v>
      </c>
    </row>
    <row r="346" spans="1:12" x14ac:dyDescent="0.2">
      <c r="A346" s="2">
        <v>7</v>
      </c>
      <c r="B346" s="2">
        <v>128</v>
      </c>
      <c r="C346" s="2">
        <v>128</v>
      </c>
      <c r="D346" s="2">
        <v>45</v>
      </c>
      <c r="E346" s="4">
        <v>3.3589124999999997E-2</v>
      </c>
      <c r="F346" s="4">
        <v>2.5652090000000002E-3</v>
      </c>
      <c r="G346" s="2">
        <v>12</v>
      </c>
      <c r="H346" s="1">
        <v>3.8732637034721101E-7</v>
      </c>
      <c r="I346" s="1">
        <v>1.7897400282673301E-5</v>
      </c>
      <c r="J346" s="3">
        <v>5.9458342499999999</v>
      </c>
      <c r="K346" s="3">
        <v>9.2080840000000001E-3</v>
      </c>
      <c r="L346" s="3">
        <v>22.453392874999999</v>
      </c>
    </row>
    <row r="347" spans="1:12" x14ac:dyDescent="0.2">
      <c r="A347" s="2">
        <v>7</v>
      </c>
      <c r="B347" s="2">
        <v>128</v>
      </c>
      <c r="C347" s="2">
        <v>128</v>
      </c>
      <c r="D347" s="2">
        <v>46</v>
      </c>
      <c r="E347" s="4">
        <v>3.1695833999999999E-2</v>
      </c>
      <c r="F347" s="4">
        <v>2.6802079999999999E-3</v>
      </c>
      <c r="G347" s="2">
        <v>12</v>
      </c>
      <c r="H347" s="1">
        <v>3.7874454821234697E-7</v>
      </c>
      <c r="I347" s="1">
        <v>1.8429177687830601E-5</v>
      </c>
      <c r="J347" s="3">
        <v>5.9458342499999999</v>
      </c>
      <c r="K347" s="3">
        <v>9.2080840000000001E-3</v>
      </c>
      <c r="L347" s="3">
        <v>22.453392874999999</v>
      </c>
    </row>
    <row r="348" spans="1:12" x14ac:dyDescent="0.2">
      <c r="A348" s="2">
        <v>7</v>
      </c>
      <c r="B348" s="2">
        <v>128</v>
      </c>
      <c r="C348" s="2">
        <v>128</v>
      </c>
      <c r="D348" s="2">
        <v>47</v>
      </c>
      <c r="E348" s="4">
        <v>3.3796874999999997E-2</v>
      </c>
      <c r="F348" s="4">
        <v>2.3376669999999999E-3</v>
      </c>
      <c r="G348" s="2">
        <v>12</v>
      </c>
      <c r="H348" s="1">
        <v>3.69881558208024E-7</v>
      </c>
      <c r="I348" s="1">
        <v>1.8922967632475502E-5</v>
      </c>
      <c r="J348" s="3">
        <v>5.9458342499999999</v>
      </c>
      <c r="K348" s="3">
        <v>9.2080840000000001E-3</v>
      </c>
      <c r="L348" s="3">
        <v>22.453392874999999</v>
      </c>
    </row>
    <row r="349" spans="1:12" x14ac:dyDescent="0.2">
      <c r="A349" s="2">
        <v>7</v>
      </c>
      <c r="B349" s="2">
        <v>128</v>
      </c>
      <c r="C349" s="2">
        <v>128</v>
      </c>
      <c r="D349" s="2">
        <v>48</v>
      </c>
      <c r="E349" s="4">
        <v>2.9409624999999998E-2</v>
      </c>
      <c r="F349" s="4">
        <v>2.6124999999999998E-3</v>
      </c>
      <c r="G349" s="2">
        <v>12</v>
      </c>
      <c r="H349" s="1">
        <v>3.6141857925865098E-7</v>
      </c>
      <c r="I349" s="1">
        <v>1.9411229624883701E-5</v>
      </c>
      <c r="J349" s="3">
        <v>5.9458342499999999</v>
      </c>
      <c r="K349" s="3">
        <v>9.2080840000000001E-3</v>
      </c>
      <c r="L349" s="3">
        <v>22.453392874999999</v>
      </c>
    </row>
    <row r="350" spans="1:12" x14ac:dyDescent="0.2">
      <c r="A350" s="2">
        <v>7</v>
      </c>
      <c r="B350" s="2">
        <v>128</v>
      </c>
      <c r="C350" s="2">
        <v>128</v>
      </c>
      <c r="D350" s="2">
        <v>49</v>
      </c>
      <c r="E350" s="4">
        <v>3.2347374999999998E-2</v>
      </c>
      <c r="F350" s="4">
        <v>2.4112920000000002E-3</v>
      </c>
      <c r="G350" s="2">
        <v>12</v>
      </c>
      <c r="H350" s="1">
        <v>3.5331088886157197E-7</v>
      </c>
      <c r="I350" s="1">
        <v>1.9892688904399599E-5</v>
      </c>
      <c r="J350" s="3">
        <v>5.9458342499999999</v>
      </c>
      <c r="K350" s="3">
        <v>9.2080840000000001E-3</v>
      </c>
      <c r="L350" s="3">
        <v>22.453392874999999</v>
      </c>
    </row>
    <row r="351" spans="1:12" x14ac:dyDescent="0.2">
      <c r="A351" s="2">
        <v>7</v>
      </c>
      <c r="B351" s="2">
        <v>128</v>
      </c>
      <c r="C351" s="2">
        <v>128</v>
      </c>
      <c r="D351" s="2">
        <v>50</v>
      </c>
      <c r="E351" s="4">
        <v>2.9316208E-2</v>
      </c>
      <c r="F351" s="4">
        <v>2.5105829999999998E-3</v>
      </c>
      <c r="G351" s="2">
        <v>12</v>
      </c>
      <c r="H351" s="1">
        <v>3.4566526054861203E-7</v>
      </c>
      <c r="I351" s="1">
        <v>2.0374777245963E-5</v>
      </c>
      <c r="J351" s="3">
        <v>5.9458342499999999</v>
      </c>
      <c r="K351" s="3">
        <v>9.2080840000000001E-3</v>
      </c>
      <c r="L351" s="3">
        <v>22.453392874999999</v>
      </c>
    </row>
    <row r="352" spans="1:12" x14ac:dyDescent="0.2">
      <c r="A352" s="2">
        <v>7</v>
      </c>
      <c r="B352" s="2">
        <v>128</v>
      </c>
      <c r="C352" s="2">
        <v>128</v>
      </c>
      <c r="D352" s="2">
        <v>51</v>
      </c>
      <c r="E352" s="4">
        <v>3.2173709000000002E-2</v>
      </c>
      <c r="F352" s="4">
        <v>2.4230667000000001E-2</v>
      </c>
      <c r="G352" s="2">
        <v>12</v>
      </c>
      <c r="H352" s="1">
        <v>3.38073374608859E-7</v>
      </c>
      <c r="I352" s="1">
        <v>2.0834554490585599E-5</v>
      </c>
      <c r="J352" s="3">
        <v>5.9458342499999999</v>
      </c>
      <c r="K352" s="3">
        <v>9.2080840000000001E-3</v>
      </c>
      <c r="L352" s="3">
        <v>22.453392874999999</v>
      </c>
    </row>
    <row r="353" spans="1:12" x14ac:dyDescent="0.2">
      <c r="A353" s="2">
        <v>7</v>
      </c>
      <c r="B353" s="2">
        <v>128</v>
      </c>
      <c r="C353" s="2">
        <v>128</v>
      </c>
      <c r="D353" s="2">
        <v>52</v>
      </c>
      <c r="E353" s="4">
        <v>3.0271666999999999E-2</v>
      </c>
      <c r="F353" s="4">
        <v>2.4812079999999999E-3</v>
      </c>
      <c r="G353" s="2">
        <v>12</v>
      </c>
      <c r="H353" s="1">
        <v>3.3116512387192498E-7</v>
      </c>
      <c r="I353" s="1">
        <v>2.1311681382843201E-5</v>
      </c>
      <c r="J353" s="3">
        <v>5.9458342499999999</v>
      </c>
      <c r="K353" s="3">
        <v>9.2080840000000001E-3</v>
      </c>
      <c r="L353" s="3">
        <v>22.453392874999999</v>
      </c>
    </row>
    <row r="354" spans="1:12" x14ac:dyDescent="0.2">
      <c r="A354" s="2">
        <v>7</v>
      </c>
      <c r="B354" s="2">
        <v>128</v>
      </c>
      <c r="C354" s="2">
        <v>128</v>
      </c>
      <c r="D354" s="2">
        <v>53</v>
      </c>
      <c r="E354" s="4">
        <v>3.2641375E-2</v>
      </c>
      <c r="F354" s="4">
        <v>2.3674579999999998E-3</v>
      </c>
      <c r="G354" s="2">
        <v>12</v>
      </c>
      <c r="H354" s="1">
        <v>3.2405366031145299E-7</v>
      </c>
      <c r="I354" s="1">
        <v>2.17511118882125E-5</v>
      </c>
      <c r="J354" s="3">
        <v>5.9458342499999999</v>
      </c>
      <c r="K354" s="3">
        <v>9.2080840000000001E-3</v>
      </c>
      <c r="L354" s="3">
        <v>22.453392874999999</v>
      </c>
    </row>
    <row r="355" spans="1:12" x14ac:dyDescent="0.2">
      <c r="A355" s="2">
        <v>7</v>
      </c>
      <c r="B355" s="2">
        <v>128</v>
      </c>
      <c r="C355" s="2">
        <v>128</v>
      </c>
      <c r="D355" s="2">
        <v>54</v>
      </c>
      <c r="E355" s="4">
        <v>2.9103041E-2</v>
      </c>
      <c r="F355" s="4">
        <v>2.3417920000000001E-3</v>
      </c>
      <c r="G355" s="2">
        <v>12</v>
      </c>
      <c r="H355" s="1">
        <v>3.1720101185141801E-7</v>
      </c>
      <c r="I355" s="1">
        <v>2.2182432433677298E-5</v>
      </c>
      <c r="J355" s="3">
        <v>5.9458342499999999</v>
      </c>
      <c r="K355" s="3">
        <v>9.2080840000000001E-3</v>
      </c>
      <c r="L355" s="3">
        <v>22.453392874999999</v>
      </c>
    </row>
    <row r="356" spans="1:12" x14ac:dyDescent="0.2">
      <c r="A356" s="2">
        <v>7</v>
      </c>
      <c r="B356" s="2">
        <v>128</v>
      </c>
      <c r="C356" s="2">
        <v>128</v>
      </c>
      <c r="D356" s="2">
        <v>55</v>
      </c>
      <c r="E356" s="4">
        <v>3.2832667000000003E-2</v>
      </c>
      <c r="F356" s="4">
        <v>3.5460420000000001E-3</v>
      </c>
      <c r="G356" s="2">
        <v>12</v>
      </c>
      <c r="H356" s="1">
        <v>3.1058379582872398E-7</v>
      </c>
      <c r="I356" s="1">
        <v>2.2605206818714401E-5</v>
      </c>
      <c r="J356" s="3">
        <v>5.9458342499999999</v>
      </c>
      <c r="K356" s="3">
        <v>9.2080840000000001E-3</v>
      </c>
      <c r="L356" s="3">
        <v>22.453392874999999</v>
      </c>
    </row>
    <row r="357" spans="1:12" x14ac:dyDescent="0.2">
      <c r="A357" s="2">
        <v>7</v>
      </c>
      <c r="B357" s="2">
        <v>128</v>
      </c>
      <c r="C357" s="2">
        <v>128</v>
      </c>
      <c r="D357" s="2">
        <v>56</v>
      </c>
      <c r="E357" s="4">
        <v>3.3216707999999998E-2</v>
      </c>
      <c r="F357" s="4">
        <v>2.3049590000000001E-3</v>
      </c>
      <c r="G357" s="2">
        <v>12</v>
      </c>
      <c r="H357" s="1">
        <v>3.0418436391425799E-7</v>
      </c>
      <c r="I357" s="1">
        <v>2.30193030485337E-5</v>
      </c>
      <c r="J357" s="3">
        <v>5.9458342499999999</v>
      </c>
      <c r="K357" s="3">
        <v>9.2080840000000001E-3</v>
      </c>
      <c r="L357" s="3">
        <v>22.453392874999999</v>
      </c>
    </row>
    <row r="358" spans="1:12" x14ac:dyDescent="0.2">
      <c r="A358" s="2">
        <v>7</v>
      </c>
      <c r="B358" s="2">
        <v>128</v>
      </c>
      <c r="C358" s="2">
        <v>128</v>
      </c>
      <c r="D358" s="2">
        <v>57</v>
      </c>
      <c r="E358" s="4">
        <v>3.0885916999999999E-2</v>
      </c>
      <c r="F358" s="4">
        <v>2.327417E-3</v>
      </c>
      <c r="G358" s="2">
        <v>12</v>
      </c>
      <c r="H358" s="1">
        <v>2.9798862184191402E-7</v>
      </c>
      <c r="I358" s="1">
        <v>2.3424784978434299E-5</v>
      </c>
      <c r="J358" s="3">
        <v>5.9458342499999999</v>
      </c>
      <c r="K358" s="3">
        <v>9.2080840000000001E-3</v>
      </c>
      <c r="L358" s="3">
        <v>22.453392874999999</v>
      </c>
    </row>
    <row r="359" spans="1:12" x14ac:dyDescent="0.2">
      <c r="A359" s="2">
        <v>7</v>
      </c>
      <c r="B359" s="2">
        <v>128</v>
      </c>
      <c r="C359" s="2">
        <v>128</v>
      </c>
      <c r="D359" s="2">
        <v>58</v>
      </c>
      <c r="E359" s="4">
        <v>3.2476790999999998E-2</v>
      </c>
      <c r="F359" s="4">
        <v>2.177792E-3</v>
      </c>
      <c r="G359" s="2">
        <v>12</v>
      </c>
      <c r="H359" s="1">
        <v>2.9221016994705999E-7</v>
      </c>
      <c r="I359" s="1">
        <v>2.38402338477856E-5</v>
      </c>
      <c r="J359" s="3">
        <v>5.9458342499999999</v>
      </c>
      <c r="K359" s="3">
        <v>9.2080840000000001E-3</v>
      </c>
      <c r="L359" s="3">
        <v>22.453392874999999</v>
      </c>
    </row>
    <row r="360" spans="1:12" x14ac:dyDescent="0.2">
      <c r="A360" s="2">
        <v>7</v>
      </c>
      <c r="B360" s="2">
        <v>128</v>
      </c>
      <c r="C360" s="2">
        <v>128</v>
      </c>
      <c r="D360" s="2">
        <v>59</v>
      </c>
      <c r="E360" s="4">
        <v>2.9132166000000001E-2</v>
      </c>
      <c r="F360" s="4">
        <v>2.862416E-3</v>
      </c>
      <c r="G360" s="2">
        <v>12</v>
      </c>
      <c r="H360" s="1">
        <v>2.8633289682250798E-7</v>
      </c>
      <c r="I360" s="1">
        <v>2.4225168190499399E-5</v>
      </c>
      <c r="J360" s="3">
        <v>5.9458342499999999</v>
      </c>
      <c r="K360" s="3">
        <v>9.2080840000000001E-3</v>
      </c>
      <c r="L360" s="3">
        <v>22.453392874999999</v>
      </c>
    </row>
    <row r="361" spans="1:12" x14ac:dyDescent="0.2">
      <c r="A361" s="2">
        <v>7</v>
      </c>
      <c r="B361" s="2">
        <v>128</v>
      </c>
      <c r="C361" s="2">
        <v>128</v>
      </c>
      <c r="D361" s="2">
        <v>60</v>
      </c>
      <c r="E361" s="4">
        <v>3.3495625000000001E-2</v>
      </c>
      <c r="F361" s="4">
        <v>2.2364170000000001E-3</v>
      </c>
      <c r="G361" s="2">
        <v>12</v>
      </c>
      <c r="H361" s="1">
        <v>2.8064473855942798E-7</v>
      </c>
      <c r="I361" s="1">
        <v>2.4603414790570101E-5</v>
      </c>
      <c r="J361" s="3">
        <v>5.9458342499999999</v>
      </c>
      <c r="K361" s="3">
        <v>9.2080840000000001E-3</v>
      </c>
      <c r="L361" s="3">
        <v>22.453392874999999</v>
      </c>
    </row>
    <row r="362" spans="1:12" x14ac:dyDescent="0.2">
      <c r="A362" s="2">
        <v>7</v>
      </c>
      <c r="B362" s="2">
        <v>128</v>
      </c>
      <c r="C362" s="2">
        <v>128</v>
      </c>
      <c r="D362" s="2">
        <v>61</v>
      </c>
      <c r="E362" s="4">
        <v>3.1412000000000002E-2</v>
      </c>
      <c r="F362" s="4">
        <v>2.7980420000000002E-3</v>
      </c>
      <c r="G362" s="2">
        <v>12</v>
      </c>
      <c r="H362" s="1">
        <v>2.7513247814661001E-7</v>
      </c>
      <c r="I362" s="1">
        <v>2.4975040120253501E-5</v>
      </c>
      <c r="J362" s="3">
        <v>5.9458342499999999</v>
      </c>
      <c r="K362" s="3">
        <v>9.2080840000000001E-3</v>
      </c>
      <c r="L362" s="3">
        <v>22.453392874999999</v>
      </c>
    </row>
    <row r="363" spans="1:12" x14ac:dyDescent="0.2">
      <c r="A363" s="2">
        <v>7</v>
      </c>
      <c r="B363" s="2">
        <v>128</v>
      </c>
      <c r="C363" s="2">
        <v>128</v>
      </c>
      <c r="D363" s="2">
        <v>62</v>
      </c>
      <c r="E363" s="4">
        <v>3.2028500000000001E-2</v>
      </c>
      <c r="F363" s="4">
        <v>2.4495839999999999E-3</v>
      </c>
      <c r="G363" s="2">
        <v>12</v>
      </c>
      <c r="H363" s="1">
        <v>2.69785741689834E-7</v>
      </c>
      <c r="I363" s="1">
        <v>2.5340277940275099E-5</v>
      </c>
      <c r="J363" s="3">
        <v>5.9458342499999999</v>
      </c>
      <c r="K363" s="3">
        <v>9.2080840000000001E-3</v>
      </c>
      <c r="L363" s="3">
        <v>22.453392874999999</v>
      </c>
    </row>
    <row r="364" spans="1:12" x14ac:dyDescent="0.2">
      <c r="A364" s="2">
        <v>7</v>
      </c>
      <c r="B364" s="2">
        <v>128</v>
      </c>
      <c r="C364" s="2">
        <v>128</v>
      </c>
      <c r="D364" s="2">
        <v>63</v>
      </c>
      <c r="E364" s="4">
        <v>3.0139666999999998E-2</v>
      </c>
      <c r="F364" s="4">
        <v>2.5439170000000001E-3</v>
      </c>
      <c r="G364" s="2">
        <v>12</v>
      </c>
      <c r="H364" s="1">
        <v>2.6459589362237001E-7</v>
      </c>
      <c r="I364" s="1">
        <v>2.5699455235476E-5</v>
      </c>
      <c r="J364" s="3">
        <v>5.9458342499999999</v>
      </c>
      <c r="K364" s="3">
        <v>9.2080840000000001E-3</v>
      </c>
      <c r="L364" s="3">
        <v>22.453392874999999</v>
      </c>
    </row>
    <row r="365" spans="1:12" x14ac:dyDescent="0.2">
      <c r="A365" s="2">
        <v>7</v>
      </c>
      <c r="B365" s="2">
        <v>128</v>
      </c>
      <c r="C365" s="2">
        <v>128</v>
      </c>
      <c r="D365" s="2">
        <v>64</v>
      </c>
      <c r="E365" s="4">
        <v>3.2818624999999997E-2</v>
      </c>
      <c r="F365" s="4">
        <v>3.2410410000000001E-3</v>
      </c>
      <c r="G365" s="2">
        <v>12</v>
      </c>
      <c r="H365" s="1">
        <v>2.5955546845464298E-7</v>
      </c>
      <c r="I365" s="1">
        <v>2.6052953206818501E-5</v>
      </c>
      <c r="J365" s="3">
        <v>5.9458342499999999</v>
      </c>
      <c r="K365" s="3">
        <v>9.2080840000000001E-3</v>
      </c>
      <c r="L365" s="3">
        <v>22.453392874999999</v>
      </c>
    </row>
    <row r="366" spans="1:12" x14ac:dyDescent="0.2">
      <c r="A366" s="2">
        <v>7</v>
      </c>
      <c r="B366" s="2">
        <v>128</v>
      </c>
      <c r="C366" s="2">
        <v>128</v>
      </c>
      <c r="D366" s="2">
        <v>65</v>
      </c>
      <c r="E366" s="4">
        <v>3.0450499999999998E-2</v>
      </c>
      <c r="F366" s="4">
        <v>2.4535E-3</v>
      </c>
      <c r="G366" s="2">
        <v>12</v>
      </c>
      <c r="H366" s="1">
        <v>2.54657848668218E-7</v>
      </c>
      <c r="I366" s="1">
        <v>2.6401184507035301E-5</v>
      </c>
      <c r="J366" s="3">
        <v>5.9458342499999999</v>
      </c>
      <c r="K366" s="3">
        <v>9.2080840000000001E-3</v>
      </c>
      <c r="L366" s="3">
        <v>22.453392874999999</v>
      </c>
    </row>
    <row r="367" spans="1:12" x14ac:dyDescent="0.2">
      <c r="A367" s="2">
        <v>7</v>
      </c>
      <c r="B367" s="2">
        <v>128</v>
      </c>
      <c r="C367" s="2">
        <v>128</v>
      </c>
      <c r="D367" s="2">
        <v>66</v>
      </c>
      <c r="E367" s="4">
        <v>3.1802583000000002E-2</v>
      </c>
      <c r="F367" s="4">
        <v>2.2762080000000001E-3</v>
      </c>
      <c r="G367" s="2">
        <v>11</v>
      </c>
      <c r="H367" s="1">
        <v>2.5007576139094202E-7</v>
      </c>
      <c r="I367" s="1">
        <v>2.6763703159919201E-5</v>
      </c>
      <c r="J367" s="3">
        <v>5.9458342499999999</v>
      </c>
      <c r="K367" s="3">
        <v>9.2080840000000001E-3</v>
      </c>
      <c r="L367" s="3">
        <v>22.453392874999999</v>
      </c>
    </row>
    <row r="368" spans="1:12" x14ac:dyDescent="0.2">
      <c r="A368" s="2">
        <v>7</v>
      </c>
      <c r="B368" s="2">
        <v>128</v>
      </c>
      <c r="C368" s="2">
        <v>128</v>
      </c>
      <c r="D368" s="2">
        <v>67</v>
      </c>
      <c r="E368" s="4">
        <v>3.2478917000000003E-2</v>
      </c>
      <c r="F368" s="4">
        <v>2.7229590000000001E-3</v>
      </c>
      <c r="G368" s="2">
        <v>11</v>
      </c>
      <c r="H368" s="1">
        <v>2.4542665077393E-7</v>
      </c>
      <c r="I368" s="1">
        <v>2.7101128071112801E-5</v>
      </c>
      <c r="J368" s="3">
        <v>5.9458342499999999</v>
      </c>
      <c r="K368" s="3">
        <v>9.2080840000000001E-3</v>
      </c>
      <c r="L368" s="3">
        <v>22.453392874999999</v>
      </c>
    </row>
    <row r="369" spans="1:12" x14ac:dyDescent="0.2">
      <c r="A369" s="2">
        <v>7</v>
      </c>
      <c r="B369" s="2">
        <v>128</v>
      </c>
      <c r="C369" s="2">
        <v>128</v>
      </c>
      <c r="D369" s="2">
        <v>68</v>
      </c>
      <c r="E369" s="4">
        <v>3.2771833E-2</v>
      </c>
      <c r="F369" s="4">
        <v>2.8073339999999999E-3</v>
      </c>
      <c r="G369" s="2">
        <v>11</v>
      </c>
      <c r="H369" s="1">
        <v>2.4090782365058101E-7</v>
      </c>
      <c r="I369" s="1">
        <v>2.7434909591469299E-5</v>
      </c>
      <c r="J369" s="3">
        <v>5.9458342499999999</v>
      </c>
      <c r="K369" s="3">
        <v>9.2080840000000001E-3</v>
      </c>
      <c r="L369" s="3">
        <v>22.453392874999999</v>
      </c>
    </row>
    <row r="370" spans="1:12" x14ac:dyDescent="0.2">
      <c r="A370" s="2">
        <v>7</v>
      </c>
      <c r="B370" s="2">
        <v>128</v>
      </c>
      <c r="C370" s="2">
        <v>128</v>
      </c>
      <c r="D370" s="2">
        <v>69</v>
      </c>
      <c r="E370" s="4">
        <v>3.0159749999999999E-2</v>
      </c>
      <c r="F370" s="4">
        <v>2.3694160000000001E-3</v>
      </c>
      <c r="G370" s="2">
        <v>11</v>
      </c>
      <c r="H370" s="1">
        <v>2.36513208592757E-7</v>
      </c>
      <c r="I370" s="1">
        <v>2.7765352955732999E-5</v>
      </c>
      <c r="J370" s="3">
        <v>5.9458342499999999</v>
      </c>
      <c r="K370" s="3">
        <v>9.2080840000000001E-3</v>
      </c>
      <c r="L370" s="3">
        <v>22.453392874999999</v>
      </c>
    </row>
    <row r="371" spans="1:12" x14ac:dyDescent="0.2">
      <c r="A371" s="2">
        <v>7</v>
      </c>
      <c r="B371" s="2">
        <v>128</v>
      </c>
      <c r="C371" s="2">
        <v>128</v>
      </c>
      <c r="D371" s="2">
        <v>70</v>
      </c>
      <c r="E371" s="4">
        <v>3.2661999999999997E-2</v>
      </c>
      <c r="F371" s="4">
        <v>3.2342500000000001E-3</v>
      </c>
      <c r="G371" s="2">
        <v>11</v>
      </c>
      <c r="H371" s="1">
        <v>2.3223765930001401E-7</v>
      </c>
      <c r="I371" s="1">
        <v>2.8092810532239499E-5</v>
      </c>
      <c r="J371" s="3">
        <v>5.9458342499999999</v>
      </c>
      <c r="K371" s="3">
        <v>9.2080840000000001E-3</v>
      </c>
      <c r="L371" s="3">
        <v>22.453392874999999</v>
      </c>
    </row>
    <row r="372" spans="1:12" x14ac:dyDescent="0.2">
      <c r="A372" s="2">
        <v>7</v>
      </c>
      <c r="B372" s="2">
        <v>128</v>
      </c>
      <c r="C372" s="2">
        <v>128</v>
      </c>
      <c r="D372" s="2">
        <v>71</v>
      </c>
      <c r="E372" s="4">
        <v>3.0651999999999999E-2</v>
      </c>
      <c r="F372" s="4">
        <v>2.352083E-3</v>
      </c>
      <c r="G372" s="2">
        <v>11</v>
      </c>
      <c r="H372" s="1">
        <v>2.2807660717409001E-7</v>
      </c>
      <c r="I372" s="1">
        <v>2.84176511481583E-5</v>
      </c>
      <c r="J372" s="3">
        <v>5.9458342499999999</v>
      </c>
      <c r="K372" s="3">
        <v>9.2080840000000001E-3</v>
      </c>
      <c r="L372" s="3">
        <v>22.453392874999999</v>
      </c>
    </row>
    <row r="373" spans="1:12" x14ac:dyDescent="0.2">
      <c r="A373" s="2">
        <v>7</v>
      </c>
      <c r="B373" s="2">
        <v>128</v>
      </c>
      <c r="C373" s="2">
        <v>128</v>
      </c>
      <c r="D373" s="2">
        <v>72</v>
      </c>
      <c r="E373" s="4">
        <v>3.1839040999999998E-2</v>
      </c>
      <c r="F373" s="4">
        <v>2.3795410000000002E-3</v>
      </c>
      <c r="G373" s="2">
        <v>11</v>
      </c>
      <c r="H373" s="1">
        <v>2.2402588653285999E-7</v>
      </c>
      <c r="I373" s="1">
        <v>2.8740244994586802E-5</v>
      </c>
      <c r="J373" s="3">
        <v>5.9458342499999999</v>
      </c>
      <c r="K373" s="3">
        <v>9.2080840000000001E-3</v>
      </c>
      <c r="L373" s="3">
        <v>22.453392874999999</v>
      </c>
    </row>
    <row r="374" spans="1:12" x14ac:dyDescent="0.2">
      <c r="A374" s="2">
        <v>7</v>
      </c>
      <c r="B374" s="2">
        <v>128</v>
      </c>
      <c r="C374" s="2">
        <v>128</v>
      </c>
      <c r="D374" s="2">
        <v>73</v>
      </c>
      <c r="E374" s="4">
        <v>3.0438875000000001E-2</v>
      </c>
      <c r="F374" s="4">
        <v>2.4160829999999999E-3</v>
      </c>
      <c r="G374" s="2">
        <v>11</v>
      </c>
      <c r="H374" s="1">
        <v>2.2008163887877501E-7</v>
      </c>
      <c r="I374" s="1">
        <v>2.9060955824374201E-5</v>
      </c>
      <c r="J374" s="3">
        <v>5.9458342499999999</v>
      </c>
      <c r="K374" s="3">
        <v>9.2080840000000001E-3</v>
      </c>
      <c r="L374" s="3">
        <v>22.453392874999999</v>
      </c>
    </row>
    <row r="375" spans="1:12" x14ac:dyDescent="0.2">
      <c r="A375" s="2">
        <v>7</v>
      </c>
      <c r="B375" s="2">
        <v>128</v>
      </c>
      <c r="C375" s="2">
        <v>128</v>
      </c>
      <c r="D375" s="2">
        <v>74</v>
      </c>
      <c r="E375" s="4">
        <v>3.1499708000000001E-2</v>
      </c>
      <c r="F375" s="4">
        <v>2.3215419999999998E-3</v>
      </c>
      <c r="G375" s="2">
        <v>11</v>
      </c>
      <c r="H375" s="1">
        <v>2.16240251204133E-7</v>
      </c>
      <c r="I375" s="1">
        <v>2.9380136179643601E-5</v>
      </c>
      <c r="J375" s="3">
        <v>5.9458342499999999</v>
      </c>
      <c r="K375" s="3">
        <v>9.2080840000000001E-3</v>
      </c>
      <c r="L375" s="3">
        <v>22.453392874999999</v>
      </c>
    </row>
    <row r="376" spans="1:12" x14ac:dyDescent="0.2">
      <c r="A376" s="2">
        <v>7</v>
      </c>
      <c r="B376" s="2">
        <v>128</v>
      </c>
      <c r="C376" s="2">
        <v>128</v>
      </c>
      <c r="D376" s="2">
        <v>75</v>
      </c>
      <c r="E376" s="4">
        <v>3.0082042E-2</v>
      </c>
      <c r="F376" s="4">
        <v>2.3652920000000002E-3</v>
      </c>
      <c r="G376" s="2">
        <v>11</v>
      </c>
      <c r="H376" s="1">
        <v>2.12498298691375E-7</v>
      </c>
      <c r="I376" s="1">
        <v>2.9698122270864301E-5</v>
      </c>
      <c r="J376" s="3">
        <v>5.9458342499999999</v>
      </c>
      <c r="K376" s="3">
        <v>9.2080840000000001E-3</v>
      </c>
      <c r="L376" s="3">
        <v>22.453392874999999</v>
      </c>
    </row>
    <row r="377" spans="1:12" x14ac:dyDescent="0.2">
      <c r="A377" s="2">
        <v>7</v>
      </c>
      <c r="B377" s="2">
        <v>128</v>
      </c>
      <c r="C377" s="2">
        <v>128</v>
      </c>
      <c r="D377" s="2">
        <v>76</v>
      </c>
      <c r="E377" s="4">
        <v>3.1531125E-2</v>
      </c>
      <c r="F377" s="4">
        <v>2.2032079999999999E-3</v>
      </c>
      <c r="G377" s="2">
        <v>11</v>
      </c>
      <c r="H377" s="1">
        <v>2.0885245911754699E-7</v>
      </c>
      <c r="I377" s="1">
        <v>3.00152238140319E-5</v>
      </c>
      <c r="J377" s="3">
        <v>5.9458342499999999</v>
      </c>
      <c r="K377" s="3">
        <v>9.2080840000000001E-3</v>
      </c>
      <c r="L377" s="3">
        <v>22.453392874999999</v>
      </c>
    </row>
    <row r="378" spans="1:12" x14ac:dyDescent="0.2">
      <c r="A378" s="2">
        <v>7</v>
      </c>
      <c r="B378" s="2">
        <v>128</v>
      </c>
      <c r="C378" s="2">
        <v>128</v>
      </c>
      <c r="D378" s="2">
        <v>77</v>
      </c>
      <c r="E378" s="4">
        <v>2.9713582999999998E-2</v>
      </c>
      <c r="F378" s="4">
        <v>2.2850840000000002E-3</v>
      </c>
      <c r="G378" s="2">
        <v>11</v>
      </c>
      <c r="H378" s="1">
        <v>2.0529937426299801E-7</v>
      </c>
      <c r="I378" s="1">
        <v>3.0331704267123499E-5</v>
      </c>
      <c r="J378" s="3">
        <v>5.9458342499999999</v>
      </c>
      <c r="K378" s="3">
        <v>9.2080840000000001E-3</v>
      </c>
      <c r="L378" s="3">
        <v>22.453392874999999</v>
      </c>
    </row>
    <row r="379" spans="1:12" x14ac:dyDescent="0.2">
      <c r="A379" s="2">
        <v>7</v>
      </c>
      <c r="B379" s="2">
        <v>128</v>
      </c>
      <c r="C379" s="2">
        <v>128</v>
      </c>
      <c r="D379" s="2">
        <v>78</v>
      </c>
      <c r="E379" s="4">
        <v>3.2886540999999998E-2</v>
      </c>
      <c r="F379" s="4">
        <v>2.5308625000000001E-2</v>
      </c>
      <c r="G379" s="2">
        <v>11</v>
      </c>
      <c r="H379" s="1">
        <v>2.01933207974719E-7</v>
      </c>
      <c r="I379" s="1">
        <v>3.0662592605961602E-5</v>
      </c>
      <c r="J379" s="3">
        <v>5.9458342499999999</v>
      </c>
      <c r="K379" s="3">
        <v>9.2080840000000001E-3</v>
      </c>
      <c r="L379" s="3">
        <v>22.453392874999999</v>
      </c>
    </row>
    <row r="380" spans="1:12" x14ac:dyDescent="0.2">
      <c r="A380" s="2">
        <v>7</v>
      </c>
      <c r="B380" s="2">
        <v>128</v>
      </c>
      <c r="C380" s="2">
        <v>128</v>
      </c>
      <c r="D380" s="2">
        <v>79</v>
      </c>
      <c r="E380" s="4">
        <v>2.9877250000000001E-2</v>
      </c>
      <c r="F380" s="4">
        <v>2.3865000000000002E-3</v>
      </c>
      <c r="G380" s="2">
        <v>11</v>
      </c>
      <c r="H380" s="1">
        <v>1.9854488390996901E-7</v>
      </c>
      <c r="I380" s="1">
        <v>3.0977190958770503E-5</v>
      </c>
      <c r="J380" s="3">
        <v>5.9458342499999999</v>
      </c>
      <c r="K380" s="3">
        <v>9.2080840000000001E-3</v>
      </c>
      <c r="L380" s="3">
        <v>22.453392874999999</v>
      </c>
    </row>
    <row r="381" spans="1:12" x14ac:dyDescent="0.2">
      <c r="A381" s="2">
        <v>7</v>
      </c>
      <c r="B381" s="2">
        <v>128</v>
      </c>
      <c r="C381" s="2">
        <v>128</v>
      </c>
      <c r="D381" s="2">
        <v>80</v>
      </c>
      <c r="E381" s="4">
        <v>3.2434833000000003E-2</v>
      </c>
      <c r="F381" s="4">
        <v>2.6009169999999999E-3</v>
      </c>
      <c r="G381" s="2">
        <v>11</v>
      </c>
      <c r="H381" s="1">
        <v>1.9525409110751299E-7</v>
      </c>
      <c r="I381" s="1">
        <v>3.12939942658378E-5</v>
      </c>
      <c r="J381" s="3">
        <v>5.9458342499999999</v>
      </c>
      <c r="K381" s="3">
        <v>9.2080840000000001E-3</v>
      </c>
      <c r="L381" s="3">
        <v>22.453392874999999</v>
      </c>
    </row>
    <row r="382" spans="1:12" x14ac:dyDescent="0.2">
      <c r="A382" s="2">
        <v>7</v>
      </c>
      <c r="B382" s="2">
        <v>128</v>
      </c>
      <c r="C382" s="2">
        <v>128</v>
      </c>
      <c r="D382" s="2">
        <v>81</v>
      </c>
      <c r="E382" s="4">
        <v>2.9641041999999999E-2</v>
      </c>
      <c r="F382" s="4">
        <v>2.3984169999999999E-3</v>
      </c>
      <c r="G382" s="2">
        <v>11</v>
      </c>
      <c r="H382" s="1">
        <v>1.9205348211535901E-7</v>
      </c>
      <c r="I382" s="1">
        <v>3.1612621793815202E-5</v>
      </c>
      <c r="J382" s="3">
        <v>5.9458342499999999</v>
      </c>
      <c r="K382" s="3">
        <v>9.2080840000000001E-3</v>
      </c>
      <c r="L382" s="3">
        <v>22.453392874999999</v>
      </c>
    </row>
    <row r="383" spans="1:12" x14ac:dyDescent="0.2">
      <c r="A383" s="2">
        <v>7</v>
      </c>
      <c r="B383" s="2">
        <v>128</v>
      </c>
      <c r="C383" s="2">
        <v>128</v>
      </c>
      <c r="D383" s="2">
        <v>82</v>
      </c>
      <c r="E383" s="4">
        <v>3.2833082999999999E-2</v>
      </c>
      <c r="F383" s="4">
        <v>2.539791E-3</v>
      </c>
      <c r="G383" s="2">
        <v>11</v>
      </c>
      <c r="H383" s="1">
        <v>1.8893735942544E-7</v>
      </c>
      <c r="I383" s="1">
        <v>3.1932860762333398E-5</v>
      </c>
      <c r="J383" s="3">
        <v>5.9458342499999999</v>
      </c>
      <c r="K383" s="3">
        <v>9.2080840000000001E-3</v>
      </c>
      <c r="L383" s="3">
        <v>22.453392874999999</v>
      </c>
    </row>
    <row r="384" spans="1:12" x14ac:dyDescent="0.2">
      <c r="A384" s="2">
        <v>7</v>
      </c>
      <c r="B384" s="2">
        <v>128</v>
      </c>
      <c r="C384" s="2">
        <v>128</v>
      </c>
      <c r="D384" s="2">
        <v>83</v>
      </c>
      <c r="E384" s="4">
        <v>3.1308875E-2</v>
      </c>
      <c r="F384" s="4">
        <v>2.3484999999999999E-3</v>
      </c>
      <c r="G384" s="2">
        <v>11</v>
      </c>
      <c r="H384" s="1">
        <v>1.8590120509567501E-7</v>
      </c>
      <c r="I384" s="1">
        <v>3.2254617502989097E-5</v>
      </c>
      <c r="J384" s="3">
        <v>5.9458342499999999</v>
      </c>
      <c r="K384" s="3">
        <v>9.2080840000000001E-3</v>
      </c>
      <c r="L384" s="3">
        <v>22.453392874999999</v>
      </c>
    </row>
    <row r="385" spans="1:12" x14ac:dyDescent="0.2">
      <c r="A385" s="2">
        <v>7</v>
      </c>
      <c r="B385" s="2">
        <v>128</v>
      </c>
      <c r="C385" s="2">
        <v>128</v>
      </c>
      <c r="D385" s="2">
        <v>84</v>
      </c>
      <c r="E385" s="4">
        <v>3.0612916E-2</v>
      </c>
      <c r="F385" s="4">
        <v>2.3077499999999999E-3</v>
      </c>
      <c r="G385" s="2">
        <v>11</v>
      </c>
      <c r="H385" s="1">
        <v>1.8294141803636699E-7</v>
      </c>
      <c r="I385" s="1">
        <v>3.2577894541107898E-5</v>
      </c>
      <c r="J385" s="3">
        <v>5.9458342499999999</v>
      </c>
      <c r="K385" s="3">
        <v>9.2080840000000001E-3</v>
      </c>
      <c r="L385" s="3">
        <v>22.453392874999999</v>
      </c>
    </row>
    <row r="386" spans="1:12" x14ac:dyDescent="0.2">
      <c r="A386" s="2">
        <v>7</v>
      </c>
      <c r="B386" s="2">
        <v>128</v>
      </c>
      <c r="C386" s="2">
        <v>128</v>
      </c>
      <c r="D386" s="2">
        <v>85</v>
      </c>
      <c r="E386" s="4">
        <v>3.0463667E-2</v>
      </c>
      <c r="F386" s="4">
        <v>2.2457499999999999E-3</v>
      </c>
      <c r="G386" s="2">
        <v>11</v>
      </c>
      <c r="H386" s="1">
        <v>1.8005518705166901E-7</v>
      </c>
      <c r="I386" s="1">
        <v>3.2902786482881999E-5</v>
      </c>
      <c r="J386" s="3">
        <v>5.9458342499999999</v>
      </c>
      <c r="K386" s="3">
        <v>9.2080840000000001E-3</v>
      </c>
      <c r="L386" s="3">
        <v>22.453392874999999</v>
      </c>
    </row>
    <row r="387" spans="1:12" x14ac:dyDescent="0.2">
      <c r="A387" s="2">
        <v>7</v>
      </c>
      <c r="B387" s="2">
        <v>128</v>
      </c>
      <c r="C387" s="2">
        <v>128</v>
      </c>
      <c r="D387" s="2">
        <v>86</v>
      </c>
      <c r="E387" s="4">
        <v>2.9325125E-2</v>
      </c>
      <c r="F387" s="4">
        <v>2.2547499999999998E-3</v>
      </c>
      <c r="G387" s="2">
        <v>11</v>
      </c>
      <c r="H387" s="1">
        <v>1.77240479205696E-7</v>
      </c>
      <c r="I387" s="1">
        <v>3.3229494970720501E-5</v>
      </c>
      <c r="J387" s="3">
        <v>5.9458342499999999</v>
      </c>
      <c r="K387" s="3">
        <v>9.2080840000000001E-3</v>
      </c>
      <c r="L387" s="3">
        <v>22.453392874999999</v>
      </c>
    </row>
    <row r="388" spans="1:12" x14ac:dyDescent="0.2">
      <c r="A388" s="2">
        <v>7</v>
      </c>
      <c r="B388" s="2">
        <v>128</v>
      </c>
      <c r="C388" s="2">
        <v>128</v>
      </c>
      <c r="D388" s="2">
        <v>87</v>
      </c>
      <c r="E388" s="4">
        <v>3.1670708999999998E-2</v>
      </c>
      <c r="F388" s="4">
        <v>2.23325E-3</v>
      </c>
      <c r="G388" s="2">
        <v>11</v>
      </c>
      <c r="H388" s="1">
        <v>1.7449614432816301E-7</v>
      </c>
      <c r="I388" s="1">
        <v>3.35583665761181E-5</v>
      </c>
      <c r="J388" s="3">
        <v>5.9458342499999999</v>
      </c>
      <c r="K388" s="3">
        <v>9.2080840000000001E-3</v>
      </c>
      <c r="L388" s="3">
        <v>22.453392874999999</v>
      </c>
    </row>
    <row r="389" spans="1:12" x14ac:dyDescent="0.2">
      <c r="A389" s="2">
        <v>7</v>
      </c>
      <c r="B389" s="2">
        <v>128</v>
      </c>
      <c r="C389" s="2">
        <v>128</v>
      </c>
      <c r="D389" s="2">
        <v>88</v>
      </c>
      <c r="E389" s="4">
        <v>2.9401165999999999E-2</v>
      </c>
      <c r="F389" s="4">
        <v>2.266166E-3</v>
      </c>
      <c r="G389" s="2">
        <v>11</v>
      </c>
      <c r="H389" s="1">
        <v>1.7182209774059301E-7</v>
      </c>
      <c r="I389" s="1">
        <v>3.3889950169475598E-5</v>
      </c>
      <c r="J389" s="3">
        <v>5.9458342499999999</v>
      </c>
      <c r="K389" s="3">
        <v>9.2080840000000001E-3</v>
      </c>
      <c r="L389" s="3">
        <v>22.453392874999999</v>
      </c>
    </row>
    <row r="390" spans="1:12" x14ac:dyDescent="0.2">
      <c r="A390" s="2">
        <v>7</v>
      </c>
      <c r="B390" s="2">
        <v>128</v>
      </c>
      <c r="C390" s="2">
        <v>128</v>
      </c>
      <c r="D390" s="2">
        <v>89</v>
      </c>
      <c r="E390" s="4">
        <v>3.4624459000000003E-2</v>
      </c>
      <c r="F390" s="4">
        <v>2.1274169999999999E-3</v>
      </c>
      <c r="G390" s="2">
        <v>11</v>
      </c>
      <c r="H390" s="1">
        <v>1.6921933363032501E-7</v>
      </c>
      <c r="I390" s="1">
        <v>3.4225026677313602E-5</v>
      </c>
      <c r="J390" s="3">
        <v>5.9458342499999999</v>
      </c>
      <c r="K390" s="3">
        <v>9.2080840000000001E-3</v>
      </c>
      <c r="L390" s="3">
        <v>22.453392874999999</v>
      </c>
    </row>
    <row r="391" spans="1:12" x14ac:dyDescent="0.2">
      <c r="A391" s="2">
        <v>7</v>
      </c>
      <c r="B391" s="2">
        <v>128</v>
      </c>
      <c r="C391" s="2">
        <v>128</v>
      </c>
      <c r="D391" s="2">
        <v>90</v>
      </c>
      <c r="E391" s="4">
        <v>2.8774292E-2</v>
      </c>
      <c r="F391" s="4">
        <v>2.3501249999999998E-3</v>
      </c>
      <c r="G391" s="2">
        <v>11</v>
      </c>
      <c r="H391" s="1">
        <v>1.6668894465657801E-7</v>
      </c>
      <c r="I391" s="1">
        <v>3.4564434621194302E-5</v>
      </c>
      <c r="J391" s="3">
        <v>5.9458342499999999</v>
      </c>
      <c r="K391" s="3">
        <v>9.2080840000000001E-3</v>
      </c>
      <c r="L391" s="3">
        <v>22.453392874999999</v>
      </c>
    </row>
    <row r="392" spans="1:12" x14ac:dyDescent="0.2">
      <c r="A392" s="2">
        <v>7</v>
      </c>
      <c r="B392" s="2">
        <v>128</v>
      </c>
      <c r="C392" s="2">
        <v>128</v>
      </c>
      <c r="D392" s="2">
        <v>91</v>
      </c>
      <c r="E392" s="4">
        <v>3.1776582999999997E-2</v>
      </c>
      <c r="F392" s="4">
        <v>2.23675E-3</v>
      </c>
      <c r="G392" s="2">
        <v>11</v>
      </c>
      <c r="H392" s="1">
        <v>1.6422477118966999E-7</v>
      </c>
      <c r="I392" s="1">
        <v>3.49075124929287E-5</v>
      </c>
      <c r="J392" s="3">
        <v>5.9458342499999999</v>
      </c>
      <c r="K392" s="3">
        <v>9.2080840000000001E-3</v>
      </c>
      <c r="L392" s="3">
        <v>22.453392874999999</v>
      </c>
    </row>
    <row r="393" spans="1:12" x14ac:dyDescent="0.2">
      <c r="A393" s="2">
        <v>7</v>
      </c>
      <c r="B393" s="2">
        <v>128</v>
      </c>
      <c r="C393" s="2">
        <v>128</v>
      </c>
      <c r="D393" s="2">
        <v>92</v>
      </c>
      <c r="E393" s="4">
        <v>3.0606292E-2</v>
      </c>
      <c r="F393" s="4">
        <v>2.297E-3</v>
      </c>
      <c r="G393" s="2">
        <v>11</v>
      </c>
      <c r="H393" s="1">
        <v>1.6177591755257499E-7</v>
      </c>
      <c r="I393" s="1">
        <v>3.5243743074966902E-5</v>
      </c>
      <c r="J393" s="3">
        <v>5.9458342499999999</v>
      </c>
      <c r="K393" s="3">
        <v>9.2080840000000001E-3</v>
      </c>
      <c r="L393" s="3">
        <v>22.453392874999999</v>
      </c>
    </row>
    <row r="394" spans="1:12" x14ac:dyDescent="0.2">
      <c r="A394" s="2">
        <v>7</v>
      </c>
      <c r="B394" s="2">
        <v>128</v>
      </c>
      <c r="C394" s="2">
        <v>128</v>
      </c>
      <c r="D394" s="2">
        <v>93</v>
      </c>
      <c r="E394" s="4">
        <v>3.2501457999999997E-2</v>
      </c>
      <c r="F394" s="4">
        <v>2.248959E-3</v>
      </c>
      <c r="G394" s="2">
        <v>11</v>
      </c>
      <c r="H394" s="1">
        <v>1.5938641555357501E-7</v>
      </c>
      <c r="I394" s="1">
        <v>3.5582722174772198E-5</v>
      </c>
      <c r="J394" s="3">
        <v>5.9458342499999999</v>
      </c>
      <c r="K394" s="3">
        <v>9.2080840000000001E-3</v>
      </c>
      <c r="L394" s="3">
        <v>22.453392874999999</v>
      </c>
    </row>
    <row r="395" spans="1:12" x14ac:dyDescent="0.2">
      <c r="A395" s="2">
        <v>7</v>
      </c>
      <c r="B395" s="2">
        <v>128</v>
      </c>
      <c r="C395" s="2">
        <v>128</v>
      </c>
      <c r="D395" s="2">
        <v>94</v>
      </c>
      <c r="E395" s="4">
        <v>2.9666666000000001E-2</v>
      </c>
      <c r="F395" s="4">
        <v>2.2617079999999999E-3</v>
      </c>
      <c r="G395" s="2">
        <v>11</v>
      </c>
      <c r="H395" s="1">
        <v>1.56984510921554E-7</v>
      </c>
      <c r="I395" s="1">
        <v>3.5908517674549301E-5</v>
      </c>
      <c r="J395" s="3">
        <v>5.9458342499999999</v>
      </c>
      <c r="K395" s="3">
        <v>9.2080840000000001E-3</v>
      </c>
      <c r="L395" s="3">
        <v>22.453392874999999</v>
      </c>
    </row>
    <row r="396" spans="1:12" x14ac:dyDescent="0.2">
      <c r="A396" s="2">
        <v>7</v>
      </c>
      <c r="B396" s="2">
        <v>128</v>
      </c>
      <c r="C396" s="2">
        <v>128</v>
      </c>
      <c r="D396" s="2">
        <v>95</v>
      </c>
      <c r="E396" s="4">
        <v>3.1418791000000001E-2</v>
      </c>
      <c r="F396" s="4">
        <v>2.2482079999999998E-3</v>
      </c>
      <c r="G396" s="2">
        <v>11</v>
      </c>
      <c r="H396" s="1">
        <v>1.54649725355296E-7</v>
      </c>
      <c r="I396" s="1">
        <v>3.62390579350131E-5</v>
      </c>
      <c r="J396" s="3">
        <v>5.9458342499999999</v>
      </c>
      <c r="K396" s="3">
        <v>9.2080840000000001E-3</v>
      </c>
      <c r="L396" s="3">
        <v>22.453392874999999</v>
      </c>
    </row>
    <row r="397" spans="1:12" x14ac:dyDescent="0.2">
      <c r="A397" s="2">
        <v>7</v>
      </c>
      <c r="B397" s="2">
        <v>128</v>
      </c>
      <c r="C397" s="2">
        <v>128</v>
      </c>
      <c r="D397" s="2">
        <v>96</v>
      </c>
      <c r="E397" s="4">
        <v>2.9647040999999999E-2</v>
      </c>
      <c r="F397" s="4">
        <v>2.5046669999999999E-3</v>
      </c>
      <c r="G397" s="2">
        <v>11</v>
      </c>
      <c r="H397" s="1">
        <v>1.5237954995392901E-7</v>
      </c>
      <c r="I397" s="1">
        <v>3.6574366915436997E-5</v>
      </c>
      <c r="J397" s="3">
        <v>5.9458342499999999</v>
      </c>
      <c r="K397" s="3">
        <v>9.2080840000000001E-3</v>
      </c>
      <c r="L397" s="3">
        <v>22.453392874999999</v>
      </c>
    </row>
    <row r="398" spans="1:12" x14ac:dyDescent="0.2">
      <c r="A398" s="2">
        <v>7</v>
      </c>
      <c r="B398" s="2">
        <v>128</v>
      </c>
      <c r="C398" s="2">
        <v>128</v>
      </c>
      <c r="D398" s="2">
        <v>97</v>
      </c>
      <c r="E398" s="4">
        <v>3.1351207999999998E-2</v>
      </c>
      <c r="F398" s="4">
        <v>2.504334E-3</v>
      </c>
      <c r="G398" s="2">
        <v>11</v>
      </c>
      <c r="H398" s="1">
        <v>1.50168983085274E-7</v>
      </c>
      <c r="I398" s="1">
        <v>3.6913820897902799E-5</v>
      </c>
      <c r="J398" s="3">
        <v>5.9458342499999999</v>
      </c>
      <c r="K398" s="3">
        <v>9.2080840000000001E-3</v>
      </c>
      <c r="L398" s="3">
        <v>22.453392874999999</v>
      </c>
    </row>
    <row r="399" spans="1:12" x14ac:dyDescent="0.2">
      <c r="A399" s="2">
        <v>7</v>
      </c>
      <c r="B399" s="2">
        <v>128</v>
      </c>
      <c r="C399" s="2">
        <v>128</v>
      </c>
      <c r="D399" s="2">
        <v>98</v>
      </c>
      <c r="E399" s="4">
        <v>2.9484584000000001E-2</v>
      </c>
      <c r="F399" s="4">
        <v>2.3965420000000002E-3</v>
      </c>
      <c r="G399" s="2">
        <v>11</v>
      </c>
      <c r="H399" s="1">
        <v>1.4801372472481001E-7</v>
      </c>
      <c r="I399" s="1">
        <v>3.7256877625535102E-5</v>
      </c>
      <c r="J399" s="3">
        <v>5.9458342499999999</v>
      </c>
      <c r="K399" s="3">
        <v>9.2080840000000001E-3</v>
      </c>
      <c r="L399" s="3">
        <v>22.453392874999999</v>
      </c>
    </row>
    <row r="400" spans="1:12" x14ac:dyDescent="0.2">
      <c r="A400" s="2">
        <v>7</v>
      </c>
      <c r="B400" s="2">
        <v>128</v>
      </c>
      <c r="C400" s="2">
        <v>128</v>
      </c>
      <c r="D400" s="2">
        <v>99</v>
      </c>
      <c r="E400" s="4">
        <v>3.2785624999999999E-2</v>
      </c>
      <c r="F400" s="4">
        <v>2.2190420000000001E-3</v>
      </c>
      <c r="G400" s="2">
        <v>11</v>
      </c>
      <c r="H400" s="1">
        <v>1.4591044547036299E-7</v>
      </c>
      <c r="I400" s="1">
        <v>3.76031625737026E-5</v>
      </c>
      <c r="J400" s="3">
        <v>5.9458342499999999</v>
      </c>
      <c r="K400" s="3">
        <v>9.2080840000000001E-3</v>
      </c>
      <c r="L400" s="3">
        <v>22.453392874999999</v>
      </c>
    </row>
    <row r="401" spans="1:12" x14ac:dyDescent="0.2">
      <c r="A401" s="2">
        <v>7</v>
      </c>
      <c r="B401" s="2">
        <v>128</v>
      </c>
      <c r="C401" s="2">
        <v>128</v>
      </c>
      <c r="D401" s="2">
        <v>100</v>
      </c>
      <c r="E401" s="4">
        <v>2.9352540999999999E-2</v>
      </c>
      <c r="F401" s="4">
        <v>2.2765419999999999E-3</v>
      </c>
      <c r="G401" s="2">
        <v>11</v>
      </c>
      <c r="H401" s="1">
        <v>1.4385655876396599E-7</v>
      </c>
      <c r="I401" s="1">
        <v>3.7952434983638801E-5</v>
      </c>
      <c r="J401" s="3">
        <v>5.9458342499999999</v>
      </c>
      <c r="K401" s="3">
        <v>9.2080840000000001E-3</v>
      </c>
      <c r="L401" s="3">
        <v>22.453392874999999</v>
      </c>
    </row>
    <row r="402" spans="1:12" x14ac:dyDescent="0.2">
      <c r="A402" s="2">
        <v>8</v>
      </c>
      <c r="B402" s="2">
        <v>256</v>
      </c>
      <c r="C402" s="2">
        <v>256</v>
      </c>
      <c r="D402" s="2">
        <v>1</v>
      </c>
      <c r="E402" s="4" t="s">
        <v>12</v>
      </c>
      <c r="F402" s="4">
        <v>1.5382499999999999E-3</v>
      </c>
      <c r="G402" s="2">
        <v>6</v>
      </c>
      <c r="H402" s="1" t="s">
        <v>12</v>
      </c>
      <c r="I402" s="1" t="s">
        <v>12</v>
      </c>
      <c r="J402" s="3">
        <v>6.479981875</v>
      </c>
      <c r="K402" s="3">
        <v>1.5414334E-2</v>
      </c>
      <c r="L402" s="3" t="s">
        <v>12</v>
      </c>
    </row>
    <row r="403" spans="1:12" x14ac:dyDescent="0.2">
      <c r="A403" s="2">
        <v>8</v>
      </c>
      <c r="B403" s="2">
        <v>256</v>
      </c>
      <c r="C403" s="2">
        <v>256</v>
      </c>
      <c r="D403" s="2">
        <v>2</v>
      </c>
      <c r="E403" s="4" t="s">
        <v>12</v>
      </c>
      <c r="F403" s="4">
        <v>2.4329159999999998E-3</v>
      </c>
      <c r="G403" s="2">
        <v>10</v>
      </c>
      <c r="H403" s="1" t="s">
        <v>12</v>
      </c>
      <c r="I403" s="1" t="s">
        <v>12</v>
      </c>
      <c r="J403" s="3">
        <v>6.479981875</v>
      </c>
      <c r="K403" s="3">
        <v>1.5414334E-2</v>
      </c>
      <c r="L403" s="3" t="s">
        <v>12</v>
      </c>
    </row>
    <row r="404" spans="1:12" x14ac:dyDescent="0.2">
      <c r="A404" s="2">
        <v>8</v>
      </c>
      <c r="B404" s="2">
        <v>256</v>
      </c>
      <c r="C404" s="2">
        <v>256</v>
      </c>
      <c r="D404" s="2">
        <v>3</v>
      </c>
      <c r="E404" s="4" t="s">
        <v>12</v>
      </c>
      <c r="F404" s="4">
        <v>2.330875E-3</v>
      </c>
      <c r="G404" s="2">
        <v>14</v>
      </c>
      <c r="H404" s="1" t="s">
        <v>12</v>
      </c>
      <c r="I404" s="1" t="s">
        <v>12</v>
      </c>
      <c r="J404" s="3">
        <v>6.479981875</v>
      </c>
      <c r="K404" s="3">
        <v>1.5414334E-2</v>
      </c>
      <c r="L404" s="3" t="s">
        <v>12</v>
      </c>
    </row>
    <row r="405" spans="1:12" x14ac:dyDescent="0.2">
      <c r="A405" s="2">
        <v>8</v>
      </c>
      <c r="B405" s="2">
        <v>256</v>
      </c>
      <c r="C405" s="2">
        <v>256</v>
      </c>
      <c r="D405" s="2">
        <v>4</v>
      </c>
      <c r="E405" s="4" t="s">
        <v>12</v>
      </c>
      <c r="F405" s="4">
        <v>2.790875E-3</v>
      </c>
      <c r="G405" s="2">
        <v>14</v>
      </c>
      <c r="H405" s="1" t="s">
        <v>12</v>
      </c>
      <c r="I405" s="1" t="s">
        <v>12</v>
      </c>
      <c r="J405" s="3">
        <v>6.479981875</v>
      </c>
      <c r="K405" s="3">
        <v>1.5414334E-2</v>
      </c>
      <c r="L405" s="3" t="s">
        <v>12</v>
      </c>
    </row>
    <row r="406" spans="1:12" x14ac:dyDescent="0.2">
      <c r="A406" s="2">
        <v>8</v>
      </c>
      <c r="B406" s="2">
        <v>256</v>
      </c>
      <c r="C406" s="2">
        <v>256</v>
      </c>
      <c r="D406" s="2">
        <v>5</v>
      </c>
      <c r="E406" s="4" t="s">
        <v>12</v>
      </c>
      <c r="F406" s="4">
        <v>3.1258330000000002E-3</v>
      </c>
      <c r="G406" s="2">
        <v>17</v>
      </c>
      <c r="H406" s="1" t="s">
        <v>12</v>
      </c>
      <c r="I406" s="1" t="s">
        <v>12</v>
      </c>
      <c r="J406" s="3">
        <v>6.479981875</v>
      </c>
      <c r="K406" s="3">
        <v>1.5414334E-2</v>
      </c>
      <c r="L406" s="3" t="s">
        <v>12</v>
      </c>
    </row>
    <row r="407" spans="1:12" x14ac:dyDescent="0.2">
      <c r="A407" s="2">
        <v>8</v>
      </c>
      <c r="B407" s="2">
        <v>256</v>
      </c>
      <c r="C407" s="2">
        <v>256</v>
      </c>
      <c r="D407" s="2">
        <v>6</v>
      </c>
      <c r="E407" s="4" t="s">
        <v>12</v>
      </c>
      <c r="F407" s="4">
        <v>3.4042909999999998E-3</v>
      </c>
      <c r="G407" s="2">
        <v>17</v>
      </c>
      <c r="H407" s="1" t="s">
        <v>12</v>
      </c>
      <c r="I407" s="1" t="s">
        <v>12</v>
      </c>
      <c r="J407" s="3">
        <v>6.479981875</v>
      </c>
      <c r="K407" s="3">
        <v>1.5414334E-2</v>
      </c>
      <c r="L407" s="3" t="s">
        <v>12</v>
      </c>
    </row>
    <row r="408" spans="1:12" x14ac:dyDescent="0.2">
      <c r="A408" s="2">
        <v>8</v>
      </c>
      <c r="B408" s="2">
        <v>256</v>
      </c>
      <c r="C408" s="2">
        <v>256</v>
      </c>
      <c r="D408" s="2">
        <v>7</v>
      </c>
      <c r="E408" s="4" t="s">
        <v>12</v>
      </c>
      <c r="F408" s="4">
        <v>4.0872909999999998E-3</v>
      </c>
      <c r="G408" s="2">
        <v>17</v>
      </c>
      <c r="H408" s="1" t="s">
        <v>12</v>
      </c>
      <c r="I408" s="1" t="s">
        <v>12</v>
      </c>
      <c r="J408" s="3">
        <v>6.479981875</v>
      </c>
      <c r="K408" s="3">
        <v>1.5414334E-2</v>
      </c>
      <c r="L408" s="3" t="s">
        <v>12</v>
      </c>
    </row>
    <row r="409" spans="1:12" x14ac:dyDescent="0.2">
      <c r="A409" s="2">
        <v>8</v>
      </c>
      <c r="B409" s="2">
        <v>256</v>
      </c>
      <c r="C409" s="2">
        <v>256</v>
      </c>
      <c r="D409" s="2">
        <v>8</v>
      </c>
      <c r="E409" s="4" t="s">
        <v>12</v>
      </c>
      <c r="F409" s="4">
        <v>5.7108330000000002E-3</v>
      </c>
      <c r="G409" s="2">
        <v>17</v>
      </c>
      <c r="H409" s="1" t="s">
        <v>12</v>
      </c>
      <c r="I409" s="1" t="s">
        <v>12</v>
      </c>
      <c r="J409" s="3">
        <v>6.479981875</v>
      </c>
      <c r="K409" s="3">
        <v>1.5414334E-2</v>
      </c>
      <c r="L409" s="3" t="s">
        <v>12</v>
      </c>
    </row>
    <row r="410" spans="1:12" x14ac:dyDescent="0.2">
      <c r="A410" s="2">
        <v>8</v>
      </c>
      <c r="B410" s="2">
        <v>256</v>
      </c>
      <c r="C410" s="2">
        <v>256</v>
      </c>
      <c r="D410" s="2">
        <v>9</v>
      </c>
      <c r="E410" s="4" t="s">
        <v>12</v>
      </c>
      <c r="F410" s="4">
        <v>3.2125420000000001E-3</v>
      </c>
      <c r="G410" s="2">
        <v>17</v>
      </c>
      <c r="H410" s="1" t="s">
        <v>12</v>
      </c>
      <c r="I410" s="1" t="s">
        <v>12</v>
      </c>
      <c r="J410" s="3">
        <v>6.479981875</v>
      </c>
      <c r="K410" s="3">
        <v>1.5414334E-2</v>
      </c>
      <c r="L410" s="3" t="s">
        <v>12</v>
      </c>
    </row>
    <row r="411" spans="1:12" x14ac:dyDescent="0.2">
      <c r="A411" s="2">
        <v>8</v>
      </c>
      <c r="B411" s="2">
        <v>256</v>
      </c>
      <c r="C411" s="2">
        <v>256</v>
      </c>
      <c r="D411" s="2">
        <v>10</v>
      </c>
      <c r="E411" s="4" t="s">
        <v>12</v>
      </c>
      <c r="F411" s="4">
        <v>3.2569999999999999E-3</v>
      </c>
      <c r="G411" s="2">
        <v>17</v>
      </c>
      <c r="H411" s="1" t="s">
        <v>12</v>
      </c>
      <c r="I411" s="1" t="s">
        <v>12</v>
      </c>
      <c r="J411" s="3">
        <v>6.479981875</v>
      </c>
      <c r="K411" s="3">
        <v>1.5414334E-2</v>
      </c>
      <c r="L411" s="3" t="s">
        <v>12</v>
      </c>
    </row>
    <row r="412" spans="1:12" x14ac:dyDescent="0.2">
      <c r="A412" s="2">
        <v>8</v>
      </c>
      <c r="B412" s="2">
        <v>256</v>
      </c>
      <c r="C412" s="2">
        <v>256</v>
      </c>
      <c r="D412" s="2">
        <v>11</v>
      </c>
      <c r="E412" s="4" t="s">
        <v>12</v>
      </c>
      <c r="F412" s="4">
        <v>3.5186250000000001E-3</v>
      </c>
      <c r="G412" s="2">
        <v>17</v>
      </c>
      <c r="H412" s="1" t="s">
        <v>12</v>
      </c>
      <c r="I412" s="1" t="s">
        <v>12</v>
      </c>
      <c r="J412" s="3">
        <v>6.479981875</v>
      </c>
      <c r="K412" s="3">
        <v>1.5414334E-2</v>
      </c>
      <c r="L412" s="3" t="s">
        <v>12</v>
      </c>
    </row>
    <row r="413" spans="1:12" x14ac:dyDescent="0.2">
      <c r="A413" s="2">
        <v>8</v>
      </c>
      <c r="B413" s="2">
        <v>256</v>
      </c>
      <c r="C413" s="2">
        <v>256</v>
      </c>
      <c r="D413" s="2">
        <v>12</v>
      </c>
      <c r="E413" s="4" t="s">
        <v>12</v>
      </c>
      <c r="F413" s="4">
        <v>3.4220000000000001E-3</v>
      </c>
      <c r="G413" s="2">
        <v>17</v>
      </c>
      <c r="H413" s="1" t="s">
        <v>12</v>
      </c>
      <c r="I413" s="1" t="s">
        <v>12</v>
      </c>
      <c r="J413" s="3">
        <v>6.479981875</v>
      </c>
      <c r="K413" s="3">
        <v>1.5414334E-2</v>
      </c>
      <c r="L413" s="3" t="s">
        <v>12</v>
      </c>
    </row>
    <row r="414" spans="1:12" x14ac:dyDescent="0.2">
      <c r="A414" s="2">
        <v>8</v>
      </c>
      <c r="B414" s="2">
        <v>256</v>
      </c>
      <c r="C414" s="2">
        <v>256</v>
      </c>
      <c r="D414" s="2">
        <v>13</v>
      </c>
      <c r="E414" s="4" t="s">
        <v>12</v>
      </c>
      <c r="F414" s="4">
        <v>1.8702541E-2</v>
      </c>
      <c r="G414" s="2">
        <v>17</v>
      </c>
      <c r="H414" s="1" t="s">
        <v>12</v>
      </c>
      <c r="I414" s="1" t="s">
        <v>12</v>
      </c>
      <c r="J414" s="3">
        <v>6.479981875</v>
      </c>
      <c r="K414" s="3">
        <v>1.5414334E-2</v>
      </c>
      <c r="L414" s="3" t="s">
        <v>12</v>
      </c>
    </row>
    <row r="415" spans="1:12" x14ac:dyDescent="0.2">
      <c r="A415" s="2">
        <v>8</v>
      </c>
      <c r="B415" s="2">
        <v>256</v>
      </c>
      <c r="C415" s="2">
        <v>256</v>
      </c>
      <c r="D415" s="2">
        <v>14</v>
      </c>
      <c r="E415" s="4" t="s">
        <v>12</v>
      </c>
      <c r="F415" s="4">
        <v>3.2447499999999998E-3</v>
      </c>
      <c r="G415" s="2">
        <v>17</v>
      </c>
      <c r="H415" s="1" t="s">
        <v>12</v>
      </c>
      <c r="I415" s="1" t="s">
        <v>12</v>
      </c>
      <c r="J415" s="3">
        <v>6.479981875</v>
      </c>
      <c r="K415" s="3">
        <v>1.5414334E-2</v>
      </c>
      <c r="L415" s="3" t="s">
        <v>12</v>
      </c>
    </row>
    <row r="416" spans="1:12" x14ac:dyDescent="0.2">
      <c r="A416" s="2">
        <v>8</v>
      </c>
      <c r="B416" s="2">
        <v>256</v>
      </c>
      <c r="C416" s="2">
        <v>256</v>
      </c>
      <c r="D416" s="2">
        <v>15</v>
      </c>
      <c r="E416" s="4" t="s">
        <v>12</v>
      </c>
      <c r="F416" s="4">
        <v>3.1208339999999998E-3</v>
      </c>
      <c r="G416" s="2">
        <v>17</v>
      </c>
      <c r="H416" s="1" t="s">
        <v>12</v>
      </c>
      <c r="I416" s="1" t="s">
        <v>12</v>
      </c>
      <c r="J416" s="3">
        <v>6.479981875</v>
      </c>
      <c r="K416" s="3">
        <v>1.5414334E-2</v>
      </c>
      <c r="L416" s="3" t="s">
        <v>12</v>
      </c>
    </row>
    <row r="417" spans="1:12" x14ac:dyDescent="0.2">
      <c r="A417" s="2">
        <v>8</v>
      </c>
      <c r="B417" s="2">
        <v>256</v>
      </c>
      <c r="C417" s="2">
        <v>256</v>
      </c>
      <c r="D417" s="2">
        <v>16</v>
      </c>
      <c r="E417" s="4" t="s">
        <v>12</v>
      </c>
      <c r="F417" s="4">
        <v>2.9405E-3</v>
      </c>
      <c r="G417" s="2">
        <v>17</v>
      </c>
      <c r="H417" s="1" t="s">
        <v>12</v>
      </c>
      <c r="I417" s="1" t="s">
        <v>12</v>
      </c>
      <c r="J417" s="3">
        <v>6.479981875</v>
      </c>
      <c r="K417" s="3">
        <v>1.5414334E-2</v>
      </c>
      <c r="L417" s="3" t="s">
        <v>12</v>
      </c>
    </row>
    <row r="418" spans="1:12" x14ac:dyDescent="0.2">
      <c r="A418" s="2">
        <v>8</v>
      </c>
      <c r="B418" s="2">
        <v>256</v>
      </c>
      <c r="C418" s="2">
        <v>256</v>
      </c>
      <c r="D418" s="2">
        <v>17</v>
      </c>
      <c r="E418" s="4" t="s">
        <v>12</v>
      </c>
      <c r="F418" s="4">
        <v>3.0759590000000001E-3</v>
      </c>
      <c r="G418" s="2">
        <v>17</v>
      </c>
      <c r="H418" s="1" t="s">
        <v>12</v>
      </c>
      <c r="I418" s="1" t="s">
        <v>12</v>
      </c>
      <c r="J418" s="3">
        <v>6.479981875</v>
      </c>
      <c r="K418" s="3">
        <v>1.5414334E-2</v>
      </c>
      <c r="L418" s="3" t="s">
        <v>12</v>
      </c>
    </row>
    <row r="419" spans="1:12" x14ac:dyDescent="0.2">
      <c r="A419" s="2">
        <v>8</v>
      </c>
      <c r="B419" s="2">
        <v>256</v>
      </c>
      <c r="C419" s="2">
        <v>256</v>
      </c>
      <c r="D419" s="2">
        <v>18</v>
      </c>
      <c r="E419" s="4" t="s">
        <v>12</v>
      </c>
      <c r="F419" s="4">
        <v>2.9247090000000002E-3</v>
      </c>
      <c r="G419" s="2">
        <v>17</v>
      </c>
      <c r="H419" s="1" t="s">
        <v>12</v>
      </c>
      <c r="I419" s="1" t="s">
        <v>12</v>
      </c>
      <c r="J419" s="3">
        <v>6.479981875</v>
      </c>
      <c r="K419" s="3">
        <v>1.5414334E-2</v>
      </c>
      <c r="L419" s="3" t="s">
        <v>12</v>
      </c>
    </row>
    <row r="420" spans="1:12" x14ac:dyDescent="0.2">
      <c r="A420" s="2">
        <v>8</v>
      </c>
      <c r="B420" s="2">
        <v>256</v>
      </c>
      <c r="C420" s="2">
        <v>256</v>
      </c>
      <c r="D420" s="2">
        <v>19</v>
      </c>
      <c r="E420" s="4" t="s">
        <v>12</v>
      </c>
      <c r="F420" s="4">
        <v>3.2042080000000001E-3</v>
      </c>
      <c r="G420" s="2">
        <v>16</v>
      </c>
      <c r="H420" s="1" t="s">
        <v>12</v>
      </c>
      <c r="I420" s="1" t="s">
        <v>12</v>
      </c>
      <c r="J420" s="3">
        <v>6.479981875</v>
      </c>
      <c r="K420" s="3">
        <v>1.5414334E-2</v>
      </c>
      <c r="L420" s="3" t="s">
        <v>12</v>
      </c>
    </row>
    <row r="421" spans="1:12" x14ac:dyDescent="0.2">
      <c r="A421" s="2">
        <v>8</v>
      </c>
      <c r="B421" s="2">
        <v>256</v>
      </c>
      <c r="C421" s="2">
        <v>256</v>
      </c>
      <c r="D421" s="2">
        <v>20</v>
      </c>
      <c r="E421" s="4" t="s">
        <v>12</v>
      </c>
      <c r="F421" s="4">
        <v>3.1958749999999999E-3</v>
      </c>
      <c r="G421" s="2">
        <v>15</v>
      </c>
      <c r="H421" s="1" t="s">
        <v>12</v>
      </c>
      <c r="I421" s="1" t="s">
        <v>12</v>
      </c>
      <c r="J421" s="3">
        <v>6.479981875</v>
      </c>
      <c r="K421" s="3">
        <v>1.5414334E-2</v>
      </c>
      <c r="L421" s="3" t="s">
        <v>12</v>
      </c>
    </row>
    <row r="422" spans="1:12" x14ac:dyDescent="0.2">
      <c r="A422" s="2">
        <v>8</v>
      </c>
      <c r="B422" s="2">
        <v>256</v>
      </c>
      <c r="C422" s="2">
        <v>256</v>
      </c>
      <c r="D422" s="2">
        <v>21</v>
      </c>
      <c r="E422" s="4" t="s">
        <v>12</v>
      </c>
      <c r="F422" s="4">
        <v>3.068917E-3</v>
      </c>
      <c r="G422" s="2">
        <v>15</v>
      </c>
      <c r="H422" s="1" t="s">
        <v>12</v>
      </c>
      <c r="I422" s="1" t="s">
        <v>12</v>
      </c>
      <c r="J422" s="3">
        <v>6.479981875</v>
      </c>
      <c r="K422" s="3">
        <v>1.5414334E-2</v>
      </c>
      <c r="L422" s="3" t="s">
        <v>12</v>
      </c>
    </row>
    <row r="423" spans="1:12" x14ac:dyDescent="0.2">
      <c r="A423" s="2">
        <v>8</v>
      </c>
      <c r="B423" s="2">
        <v>256</v>
      </c>
      <c r="C423" s="2">
        <v>256</v>
      </c>
      <c r="D423" s="2">
        <v>22</v>
      </c>
      <c r="E423" s="4" t="s">
        <v>12</v>
      </c>
      <c r="F423" s="4">
        <v>2.6737079999999999E-3</v>
      </c>
      <c r="G423" s="2">
        <v>15</v>
      </c>
      <c r="H423" s="1" t="s">
        <v>12</v>
      </c>
      <c r="I423" s="1" t="s">
        <v>12</v>
      </c>
      <c r="J423" s="3">
        <v>6.479981875</v>
      </c>
      <c r="K423" s="3">
        <v>1.5414334E-2</v>
      </c>
      <c r="L423" s="3" t="s">
        <v>12</v>
      </c>
    </row>
    <row r="424" spans="1:12" x14ac:dyDescent="0.2">
      <c r="A424" s="2">
        <v>8</v>
      </c>
      <c r="B424" s="2">
        <v>256</v>
      </c>
      <c r="C424" s="2">
        <v>256</v>
      </c>
      <c r="D424" s="2">
        <v>23</v>
      </c>
      <c r="E424" s="4" t="s">
        <v>12</v>
      </c>
      <c r="F424" s="4">
        <v>3.0433330000000001E-3</v>
      </c>
      <c r="G424" s="2">
        <v>15</v>
      </c>
      <c r="H424" s="1" t="s">
        <v>12</v>
      </c>
      <c r="I424" s="1" t="s">
        <v>12</v>
      </c>
      <c r="J424" s="3">
        <v>6.479981875</v>
      </c>
      <c r="K424" s="3">
        <v>1.5414334E-2</v>
      </c>
      <c r="L424" s="3" t="s">
        <v>12</v>
      </c>
    </row>
    <row r="425" spans="1:12" x14ac:dyDescent="0.2">
      <c r="A425" s="2">
        <v>8</v>
      </c>
      <c r="B425" s="2">
        <v>256</v>
      </c>
      <c r="C425" s="2">
        <v>256</v>
      </c>
      <c r="D425" s="2">
        <v>24</v>
      </c>
      <c r="E425" s="4" t="s">
        <v>12</v>
      </c>
      <c r="F425" s="4">
        <v>2.7643329999999999E-3</v>
      </c>
      <c r="G425" s="2">
        <v>15</v>
      </c>
      <c r="H425" s="1" t="s">
        <v>12</v>
      </c>
      <c r="I425" s="1" t="s">
        <v>12</v>
      </c>
      <c r="J425" s="3">
        <v>6.479981875</v>
      </c>
      <c r="K425" s="3">
        <v>1.5414334E-2</v>
      </c>
      <c r="L425" s="3" t="s">
        <v>12</v>
      </c>
    </row>
    <row r="426" spans="1:12" x14ac:dyDescent="0.2">
      <c r="A426" s="2">
        <v>8</v>
      </c>
      <c r="B426" s="2">
        <v>256</v>
      </c>
      <c r="C426" s="2">
        <v>256</v>
      </c>
      <c r="D426" s="2">
        <v>25</v>
      </c>
      <c r="E426" s="4" t="s">
        <v>12</v>
      </c>
      <c r="F426" s="4">
        <v>3.2799999999999999E-3</v>
      </c>
      <c r="G426" s="2">
        <v>15</v>
      </c>
      <c r="H426" s="1" t="s">
        <v>12</v>
      </c>
      <c r="I426" s="1" t="s">
        <v>12</v>
      </c>
      <c r="J426" s="3">
        <v>6.479981875</v>
      </c>
      <c r="K426" s="3">
        <v>1.5414334E-2</v>
      </c>
      <c r="L426" s="3" t="s">
        <v>12</v>
      </c>
    </row>
    <row r="427" spans="1:12" x14ac:dyDescent="0.2">
      <c r="A427" s="2">
        <v>8</v>
      </c>
      <c r="B427" s="2">
        <v>256</v>
      </c>
      <c r="C427" s="2">
        <v>256</v>
      </c>
      <c r="D427" s="2">
        <v>26</v>
      </c>
      <c r="E427" s="4" t="s">
        <v>12</v>
      </c>
      <c r="F427" s="4">
        <v>2.8790420000000001E-3</v>
      </c>
      <c r="G427" s="2">
        <v>15</v>
      </c>
      <c r="H427" s="1" t="s">
        <v>12</v>
      </c>
      <c r="I427" s="1" t="s">
        <v>12</v>
      </c>
      <c r="J427" s="3">
        <v>6.479981875</v>
      </c>
      <c r="K427" s="3">
        <v>1.5414334E-2</v>
      </c>
      <c r="L427" s="3" t="s">
        <v>12</v>
      </c>
    </row>
    <row r="428" spans="1:12" x14ac:dyDescent="0.2">
      <c r="A428" s="2">
        <v>8</v>
      </c>
      <c r="B428" s="2">
        <v>256</v>
      </c>
      <c r="C428" s="2">
        <v>256</v>
      </c>
      <c r="D428" s="2">
        <v>27</v>
      </c>
      <c r="E428" s="4" t="s">
        <v>12</v>
      </c>
      <c r="F428" s="4">
        <v>2.8301250000000002E-3</v>
      </c>
      <c r="G428" s="2">
        <v>15</v>
      </c>
      <c r="H428" s="1" t="s">
        <v>12</v>
      </c>
      <c r="I428" s="1" t="s">
        <v>12</v>
      </c>
      <c r="J428" s="3">
        <v>6.479981875</v>
      </c>
      <c r="K428" s="3">
        <v>1.5414334E-2</v>
      </c>
      <c r="L428" s="3" t="s">
        <v>12</v>
      </c>
    </row>
    <row r="429" spans="1:12" x14ac:dyDescent="0.2">
      <c r="A429" s="2">
        <v>8</v>
      </c>
      <c r="B429" s="2">
        <v>256</v>
      </c>
      <c r="C429" s="2">
        <v>256</v>
      </c>
      <c r="D429" s="2">
        <v>28</v>
      </c>
      <c r="E429" s="4" t="s">
        <v>12</v>
      </c>
      <c r="F429" s="4">
        <v>2.9389170000000001E-3</v>
      </c>
      <c r="G429" s="2">
        <v>15</v>
      </c>
      <c r="H429" s="1" t="s">
        <v>12</v>
      </c>
      <c r="I429" s="1" t="s">
        <v>12</v>
      </c>
      <c r="J429" s="3">
        <v>6.479981875</v>
      </c>
      <c r="K429" s="3">
        <v>1.5414334E-2</v>
      </c>
      <c r="L429" s="3" t="s">
        <v>12</v>
      </c>
    </row>
    <row r="430" spans="1:12" x14ac:dyDescent="0.2">
      <c r="A430" s="2">
        <v>8</v>
      </c>
      <c r="B430" s="2">
        <v>256</v>
      </c>
      <c r="C430" s="2">
        <v>256</v>
      </c>
      <c r="D430" s="2">
        <v>29</v>
      </c>
      <c r="E430" s="4" t="s">
        <v>12</v>
      </c>
      <c r="F430" s="4">
        <v>2.98E-3</v>
      </c>
      <c r="G430" s="2">
        <v>15</v>
      </c>
      <c r="H430" s="1" t="s">
        <v>12</v>
      </c>
      <c r="I430" s="1" t="s">
        <v>12</v>
      </c>
      <c r="J430" s="3">
        <v>6.479981875</v>
      </c>
      <c r="K430" s="3">
        <v>1.5414334E-2</v>
      </c>
      <c r="L430" s="3" t="s">
        <v>12</v>
      </c>
    </row>
    <row r="431" spans="1:12" x14ac:dyDescent="0.2">
      <c r="A431" s="2">
        <v>8</v>
      </c>
      <c r="B431" s="2">
        <v>256</v>
      </c>
      <c r="C431" s="2">
        <v>256</v>
      </c>
      <c r="D431" s="2">
        <v>30</v>
      </c>
      <c r="E431" s="4" t="s">
        <v>12</v>
      </c>
      <c r="F431" s="4">
        <v>2.8557500000000002E-3</v>
      </c>
      <c r="G431" s="2">
        <v>15</v>
      </c>
      <c r="H431" s="1" t="s">
        <v>12</v>
      </c>
      <c r="I431" s="1" t="s">
        <v>12</v>
      </c>
      <c r="J431" s="3">
        <v>6.479981875</v>
      </c>
      <c r="K431" s="3">
        <v>1.5414334E-2</v>
      </c>
      <c r="L431" s="3" t="s">
        <v>12</v>
      </c>
    </row>
    <row r="432" spans="1:12" x14ac:dyDescent="0.2">
      <c r="A432" s="2">
        <v>8</v>
      </c>
      <c r="B432" s="2">
        <v>256</v>
      </c>
      <c r="C432" s="2">
        <v>256</v>
      </c>
      <c r="D432" s="2">
        <v>31</v>
      </c>
      <c r="E432" s="4" t="s">
        <v>12</v>
      </c>
      <c r="F432" s="4">
        <v>2.8744170000000002E-3</v>
      </c>
      <c r="G432" s="2">
        <v>15</v>
      </c>
      <c r="H432" s="1" t="s">
        <v>12</v>
      </c>
      <c r="I432" s="1" t="s">
        <v>12</v>
      </c>
      <c r="J432" s="3">
        <v>6.479981875</v>
      </c>
      <c r="K432" s="3">
        <v>1.5414334E-2</v>
      </c>
      <c r="L432" s="3" t="s">
        <v>12</v>
      </c>
    </row>
    <row r="433" spans="1:12" x14ac:dyDescent="0.2">
      <c r="A433" s="2">
        <v>8</v>
      </c>
      <c r="B433" s="2">
        <v>256</v>
      </c>
      <c r="C433" s="2">
        <v>256</v>
      </c>
      <c r="D433" s="2">
        <v>32</v>
      </c>
      <c r="E433" s="4" t="s">
        <v>12</v>
      </c>
      <c r="F433" s="4">
        <v>3.1514170000000001E-3</v>
      </c>
      <c r="G433" s="2">
        <v>15</v>
      </c>
      <c r="H433" s="1" t="s">
        <v>12</v>
      </c>
      <c r="I433" s="1" t="s">
        <v>12</v>
      </c>
      <c r="J433" s="3">
        <v>6.479981875</v>
      </c>
      <c r="K433" s="3">
        <v>1.5414334E-2</v>
      </c>
      <c r="L433" s="3" t="s">
        <v>12</v>
      </c>
    </row>
    <row r="434" spans="1:12" x14ac:dyDescent="0.2">
      <c r="A434" s="2">
        <v>8</v>
      </c>
      <c r="B434" s="2">
        <v>256</v>
      </c>
      <c r="C434" s="2">
        <v>256</v>
      </c>
      <c r="D434" s="2">
        <v>33</v>
      </c>
      <c r="E434" s="4" t="s">
        <v>12</v>
      </c>
      <c r="F434" s="4">
        <v>1.0860375E-2</v>
      </c>
      <c r="G434" s="2">
        <v>15</v>
      </c>
      <c r="H434" s="1" t="s">
        <v>12</v>
      </c>
      <c r="I434" s="1" t="s">
        <v>12</v>
      </c>
      <c r="J434" s="3">
        <v>6.479981875</v>
      </c>
      <c r="K434" s="3">
        <v>1.5414334E-2</v>
      </c>
      <c r="L434" s="3" t="s">
        <v>12</v>
      </c>
    </row>
    <row r="435" spans="1:12" x14ac:dyDescent="0.2">
      <c r="A435" s="2">
        <v>8</v>
      </c>
      <c r="B435" s="2">
        <v>256</v>
      </c>
      <c r="C435" s="2">
        <v>256</v>
      </c>
      <c r="D435" s="2">
        <v>34</v>
      </c>
      <c r="E435" s="4" t="s">
        <v>12</v>
      </c>
      <c r="F435" s="4">
        <v>3.0061670000000001E-3</v>
      </c>
      <c r="G435" s="2">
        <v>15</v>
      </c>
      <c r="H435" s="1" t="s">
        <v>12</v>
      </c>
      <c r="I435" s="1" t="s">
        <v>12</v>
      </c>
      <c r="J435" s="3">
        <v>6.479981875</v>
      </c>
      <c r="K435" s="3">
        <v>1.5414334E-2</v>
      </c>
      <c r="L435" s="3" t="s">
        <v>12</v>
      </c>
    </row>
    <row r="436" spans="1:12" x14ac:dyDescent="0.2">
      <c r="A436" s="2">
        <v>8</v>
      </c>
      <c r="B436" s="2">
        <v>256</v>
      </c>
      <c r="C436" s="2">
        <v>256</v>
      </c>
      <c r="D436" s="2">
        <v>35</v>
      </c>
      <c r="E436" s="4" t="s">
        <v>12</v>
      </c>
      <c r="F436" s="4">
        <v>3.1292080000000001E-3</v>
      </c>
      <c r="G436" s="2">
        <v>15</v>
      </c>
      <c r="H436" s="1" t="s">
        <v>12</v>
      </c>
      <c r="I436" s="1" t="s">
        <v>12</v>
      </c>
      <c r="J436" s="3">
        <v>6.479981875</v>
      </c>
      <c r="K436" s="3">
        <v>1.5414334E-2</v>
      </c>
      <c r="L436" s="3" t="s">
        <v>12</v>
      </c>
    </row>
    <row r="437" spans="1:12" x14ac:dyDescent="0.2">
      <c r="A437" s="2">
        <v>8</v>
      </c>
      <c r="B437" s="2">
        <v>256</v>
      </c>
      <c r="C437" s="2">
        <v>256</v>
      </c>
      <c r="D437" s="2">
        <v>36</v>
      </c>
      <c r="E437" s="4" t="s">
        <v>12</v>
      </c>
      <c r="F437" s="4">
        <v>2.8088750000000002E-3</v>
      </c>
      <c r="G437" s="2">
        <v>15</v>
      </c>
      <c r="H437" s="1" t="s">
        <v>12</v>
      </c>
      <c r="I437" s="1" t="s">
        <v>12</v>
      </c>
      <c r="J437" s="3">
        <v>6.479981875</v>
      </c>
      <c r="K437" s="3">
        <v>1.5414334E-2</v>
      </c>
      <c r="L437" s="3" t="s">
        <v>12</v>
      </c>
    </row>
    <row r="438" spans="1:12" x14ac:dyDescent="0.2">
      <c r="A438" s="2">
        <v>8</v>
      </c>
      <c r="B438" s="2">
        <v>256</v>
      </c>
      <c r="C438" s="2">
        <v>256</v>
      </c>
      <c r="D438" s="2">
        <v>37</v>
      </c>
      <c r="E438" s="4" t="s">
        <v>12</v>
      </c>
      <c r="F438" s="4">
        <v>3.0040420000000002E-3</v>
      </c>
      <c r="G438" s="2">
        <v>15</v>
      </c>
      <c r="H438" s="1" t="s">
        <v>12</v>
      </c>
      <c r="I438" s="1" t="s">
        <v>12</v>
      </c>
      <c r="J438" s="3">
        <v>6.479981875</v>
      </c>
      <c r="K438" s="3">
        <v>1.5414334E-2</v>
      </c>
      <c r="L438" s="3" t="s">
        <v>12</v>
      </c>
    </row>
    <row r="439" spans="1:12" x14ac:dyDescent="0.2">
      <c r="A439" s="2">
        <v>8</v>
      </c>
      <c r="B439" s="2">
        <v>256</v>
      </c>
      <c r="C439" s="2">
        <v>256</v>
      </c>
      <c r="D439" s="2">
        <v>38</v>
      </c>
      <c r="E439" s="4" t="s">
        <v>12</v>
      </c>
      <c r="F439" s="4">
        <v>3.0029589999999999E-3</v>
      </c>
      <c r="G439" s="2">
        <v>15</v>
      </c>
      <c r="H439" s="1" t="s">
        <v>12</v>
      </c>
      <c r="I439" s="1" t="s">
        <v>12</v>
      </c>
      <c r="J439" s="3">
        <v>6.479981875</v>
      </c>
      <c r="K439" s="3">
        <v>1.5414334E-2</v>
      </c>
      <c r="L439" s="3" t="s">
        <v>12</v>
      </c>
    </row>
    <row r="440" spans="1:12" x14ac:dyDescent="0.2">
      <c r="A440" s="2">
        <v>8</v>
      </c>
      <c r="B440" s="2">
        <v>256</v>
      </c>
      <c r="C440" s="2">
        <v>256</v>
      </c>
      <c r="D440" s="2">
        <v>39</v>
      </c>
      <c r="E440" s="4" t="s">
        <v>12</v>
      </c>
      <c r="F440" s="4">
        <v>2.6891250000000001E-3</v>
      </c>
      <c r="G440" s="2">
        <v>15</v>
      </c>
      <c r="H440" s="1" t="s">
        <v>12</v>
      </c>
      <c r="I440" s="1" t="s">
        <v>12</v>
      </c>
      <c r="J440" s="3">
        <v>6.479981875</v>
      </c>
      <c r="K440" s="3">
        <v>1.5414334E-2</v>
      </c>
      <c r="L440" s="3" t="s">
        <v>12</v>
      </c>
    </row>
    <row r="441" spans="1:12" x14ac:dyDescent="0.2">
      <c r="A441" s="2">
        <v>8</v>
      </c>
      <c r="B441" s="2">
        <v>256</v>
      </c>
      <c r="C441" s="2">
        <v>256</v>
      </c>
      <c r="D441" s="2">
        <v>40</v>
      </c>
      <c r="E441" s="4" t="s">
        <v>12</v>
      </c>
      <c r="F441" s="4">
        <v>2.8860420000000001E-3</v>
      </c>
      <c r="G441" s="2">
        <v>15</v>
      </c>
      <c r="H441" s="1" t="s">
        <v>12</v>
      </c>
      <c r="I441" s="1" t="s">
        <v>12</v>
      </c>
      <c r="J441" s="3">
        <v>6.479981875</v>
      </c>
      <c r="K441" s="3">
        <v>1.5414334E-2</v>
      </c>
      <c r="L441" s="3" t="s">
        <v>12</v>
      </c>
    </row>
    <row r="442" spans="1:12" x14ac:dyDescent="0.2">
      <c r="A442" s="2">
        <v>8</v>
      </c>
      <c r="B442" s="2">
        <v>256</v>
      </c>
      <c r="C442" s="2">
        <v>256</v>
      </c>
      <c r="D442" s="2">
        <v>41</v>
      </c>
      <c r="E442" s="4" t="s">
        <v>12</v>
      </c>
      <c r="F442" s="4">
        <v>2.8010829999999998E-3</v>
      </c>
      <c r="G442" s="2">
        <v>15</v>
      </c>
      <c r="H442" s="1" t="s">
        <v>12</v>
      </c>
      <c r="I442" s="1" t="s">
        <v>12</v>
      </c>
      <c r="J442" s="3">
        <v>6.479981875</v>
      </c>
      <c r="K442" s="3">
        <v>1.5414334E-2</v>
      </c>
      <c r="L442" s="3" t="s">
        <v>12</v>
      </c>
    </row>
    <row r="443" spans="1:12" x14ac:dyDescent="0.2">
      <c r="A443" s="2">
        <v>8</v>
      </c>
      <c r="B443" s="2">
        <v>256</v>
      </c>
      <c r="C443" s="2">
        <v>256</v>
      </c>
      <c r="D443" s="2">
        <v>42</v>
      </c>
      <c r="E443" s="4" t="s">
        <v>12</v>
      </c>
      <c r="F443" s="4">
        <v>2.6019580000000001E-3</v>
      </c>
      <c r="G443" s="2">
        <v>15</v>
      </c>
      <c r="H443" s="1" t="s">
        <v>12</v>
      </c>
      <c r="I443" s="1" t="s">
        <v>12</v>
      </c>
      <c r="J443" s="3">
        <v>6.479981875</v>
      </c>
      <c r="K443" s="3">
        <v>1.5414334E-2</v>
      </c>
      <c r="L443" s="3" t="s">
        <v>12</v>
      </c>
    </row>
    <row r="444" spans="1:12" x14ac:dyDescent="0.2">
      <c r="A444" s="2">
        <v>8</v>
      </c>
      <c r="B444" s="2">
        <v>256</v>
      </c>
      <c r="C444" s="2">
        <v>256</v>
      </c>
      <c r="D444" s="2">
        <v>43</v>
      </c>
      <c r="E444" s="4" t="s">
        <v>12</v>
      </c>
      <c r="F444" s="4">
        <v>2.6795E-3</v>
      </c>
      <c r="G444" s="2">
        <v>15</v>
      </c>
      <c r="H444" s="1" t="s">
        <v>12</v>
      </c>
      <c r="I444" s="1" t="s">
        <v>12</v>
      </c>
      <c r="J444" s="3">
        <v>6.479981875</v>
      </c>
      <c r="K444" s="3">
        <v>1.5414334E-2</v>
      </c>
      <c r="L444" s="3" t="s">
        <v>12</v>
      </c>
    </row>
    <row r="445" spans="1:12" x14ac:dyDescent="0.2">
      <c r="A445" s="2">
        <v>8</v>
      </c>
      <c r="B445" s="2">
        <v>256</v>
      </c>
      <c r="C445" s="2">
        <v>256</v>
      </c>
      <c r="D445" s="2">
        <v>44</v>
      </c>
      <c r="E445" s="4" t="s">
        <v>12</v>
      </c>
      <c r="F445" s="4">
        <v>2.7580410000000001E-3</v>
      </c>
      <c r="G445" s="2">
        <v>14</v>
      </c>
      <c r="H445" s="1" t="s">
        <v>12</v>
      </c>
      <c r="I445" s="1" t="s">
        <v>12</v>
      </c>
      <c r="J445" s="3">
        <v>6.479981875</v>
      </c>
      <c r="K445" s="3">
        <v>1.5414334E-2</v>
      </c>
      <c r="L445" s="3" t="s">
        <v>12</v>
      </c>
    </row>
    <row r="446" spans="1:12" x14ac:dyDescent="0.2">
      <c r="A446" s="2">
        <v>8</v>
      </c>
      <c r="B446" s="2">
        <v>256</v>
      </c>
      <c r="C446" s="2">
        <v>256</v>
      </c>
      <c r="D446" s="2">
        <v>45</v>
      </c>
      <c r="E446" s="4" t="s">
        <v>12</v>
      </c>
      <c r="F446" s="4">
        <v>2.880292E-3</v>
      </c>
      <c r="G446" s="2">
        <v>14</v>
      </c>
      <c r="H446" s="1" t="s">
        <v>12</v>
      </c>
      <c r="I446" s="1" t="s">
        <v>12</v>
      </c>
      <c r="J446" s="3">
        <v>6.479981875</v>
      </c>
      <c r="K446" s="3">
        <v>1.5414334E-2</v>
      </c>
      <c r="L446" s="3" t="s">
        <v>12</v>
      </c>
    </row>
    <row r="447" spans="1:12" x14ac:dyDescent="0.2">
      <c r="A447" s="2">
        <v>8</v>
      </c>
      <c r="B447" s="2">
        <v>256</v>
      </c>
      <c r="C447" s="2">
        <v>256</v>
      </c>
      <c r="D447" s="2">
        <v>46</v>
      </c>
      <c r="E447" s="4" t="s">
        <v>12</v>
      </c>
      <c r="F447" s="4">
        <v>2.6405000000000001E-3</v>
      </c>
      <c r="G447" s="2">
        <v>14</v>
      </c>
      <c r="H447" s="1" t="s">
        <v>12</v>
      </c>
      <c r="I447" s="1" t="s">
        <v>12</v>
      </c>
      <c r="J447" s="3">
        <v>6.479981875</v>
      </c>
      <c r="K447" s="3">
        <v>1.5414334E-2</v>
      </c>
      <c r="L447" s="3" t="s">
        <v>12</v>
      </c>
    </row>
    <row r="448" spans="1:12" x14ac:dyDescent="0.2">
      <c r="A448" s="2">
        <v>8</v>
      </c>
      <c r="B448" s="2">
        <v>256</v>
      </c>
      <c r="C448" s="2">
        <v>256</v>
      </c>
      <c r="D448" s="2">
        <v>47</v>
      </c>
      <c r="E448" s="4" t="s">
        <v>12</v>
      </c>
      <c r="F448" s="4">
        <v>2.969583E-3</v>
      </c>
      <c r="G448" s="2">
        <v>14</v>
      </c>
      <c r="H448" s="1" t="s">
        <v>12</v>
      </c>
      <c r="I448" s="1" t="s">
        <v>12</v>
      </c>
      <c r="J448" s="3">
        <v>6.479981875</v>
      </c>
      <c r="K448" s="3">
        <v>1.5414334E-2</v>
      </c>
      <c r="L448" s="3" t="s">
        <v>12</v>
      </c>
    </row>
    <row r="449" spans="1:12" x14ac:dyDescent="0.2">
      <c r="A449" s="2">
        <v>8</v>
      </c>
      <c r="B449" s="2">
        <v>256</v>
      </c>
      <c r="C449" s="2">
        <v>256</v>
      </c>
      <c r="D449" s="2">
        <v>48</v>
      </c>
      <c r="E449" s="4" t="s">
        <v>12</v>
      </c>
      <c r="F449" s="4">
        <v>2.67475E-3</v>
      </c>
      <c r="G449" s="2">
        <v>14</v>
      </c>
      <c r="H449" s="1" t="s">
        <v>12</v>
      </c>
      <c r="I449" s="1" t="s">
        <v>12</v>
      </c>
      <c r="J449" s="3">
        <v>6.479981875</v>
      </c>
      <c r="K449" s="3">
        <v>1.5414334E-2</v>
      </c>
      <c r="L449" s="3" t="s">
        <v>12</v>
      </c>
    </row>
    <row r="450" spans="1:12" x14ac:dyDescent="0.2">
      <c r="A450" s="2">
        <v>8</v>
      </c>
      <c r="B450" s="2">
        <v>256</v>
      </c>
      <c r="C450" s="2">
        <v>256</v>
      </c>
      <c r="D450" s="2">
        <v>49</v>
      </c>
      <c r="E450" s="4" t="s">
        <v>12</v>
      </c>
      <c r="F450" s="4">
        <v>2.8614999999999999E-3</v>
      </c>
      <c r="G450" s="2">
        <v>14</v>
      </c>
      <c r="H450" s="1" t="s">
        <v>12</v>
      </c>
      <c r="I450" s="1" t="s">
        <v>12</v>
      </c>
      <c r="J450" s="3">
        <v>6.479981875</v>
      </c>
      <c r="K450" s="3">
        <v>1.5414334E-2</v>
      </c>
      <c r="L450" s="3" t="s">
        <v>12</v>
      </c>
    </row>
    <row r="451" spans="1:12" x14ac:dyDescent="0.2">
      <c r="A451" s="2">
        <v>8</v>
      </c>
      <c r="B451" s="2">
        <v>256</v>
      </c>
      <c r="C451" s="2">
        <v>256</v>
      </c>
      <c r="D451" s="2">
        <v>50</v>
      </c>
      <c r="E451" s="4" t="s">
        <v>12</v>
      </c>
      <c r="F451" s="4">
        <v>2.4358750000000001E-3</v>
      </c>
      <c r="G451" s="2">
        <v>14</v>
      </c>
      <c r="H451" s="1" t="s">
        <v>12</v>
      </c>
      <c r="I451" s="1" t="s">
        <v>12</v>
      </c>
      <c r="J451" s="3">
        <v>6.479981875</v>
      </c>
      <c r="K451" s="3">
        <v>1.5414334E-2</v>
      </c>
      <c r="L451" s="3" t="s">
        <v>12</v>
      </c>
    </row>
    <row r="452" spans="1:12" x14ac:dyDescent="0.2">
      <c r="A452" s="2">
        <v>8</v>
      </c>
      <c r="B452" s="2">
        <v>256</v>
      </c>
      <c r="C452" s="2">
        <v>256</v>
      </c>
      <c r="D452" s="2">
        <v>51</v>
      </c>
      <c r="E452" s="4" t="s">
        <v>12</v>
      </c>
      <c r="F452" s="4">
        <v>2.7179999999999999E-3</v>
      </c>
      <c r="G452" s="2">
        <v>14</v>
      </c>
      <c r="H452" s="1" t="s">
        <v>12</v>
      </c>
      <c r="I452" s="1" t="s">
        <v>12</v>
      </c>
      <c r="J452" s="3">
        <v>6.479981875</v>
      </c>
      <c r="K452" s="3">
        <v>1.5414334E-2</v>
      </c>
      <c r="L452" s="3" t="s">
        <v>12</v>
      </c>
    </row>
    <row r="453" spans="1:12" x14ac:dyDescent="0.2">
      <c r="A453" s="2">
        <v>8</v>
      </c>
      <c r="B453" s="2">
        <v>256</v>
      </c>
      <c r="C453" s="2">
        <v>256</v>
      </c>
      <c r="D453" s="2">
        <v>52</v>
      </c>
      <c r="E453" s="4" t="s">
        <v>12</v>
      </c>
      <c r="F453" s="4">
        <v>2.7358339999999999E-3</v>
      </c>
      <c r="G453" s="2">
        <v>14</v>
      </c>
      <c r="H453" s="1" t="s">
        <v>12</v>
      </c>
      <c r="I453" s="1" t="s">
        <v>12</v>
      </c>
      <c r="J453" s="3">
        <v>6.479981875</v>
      </c>
      <c r="K453" s="3">
        <v>1.5414334E-2</v>
      </c>
      <c r="L453" s="3" t="s">
        <v>12</v>
      </c>
    </row>
    <row r="454" spans="1:12" x14ac:dyDescent="0.2">
      <c r="A454" s="2">
        <v>8</v>
      </c>
      <c r="B454" s="2">
        <v>256</v>
      </c>
      <c r="C454" s="2">
        <v>256</v>
      </c>
      <c r="D454" s="2">
        <v>53</v>
      </c>
      <c r="E454" s="4" t="s">
        <v>12</v>
      </c>
      <c r="F454" s="4">
        <v>2.4792920000000001E-3</v>
      </c>
      <c r="G454" s="2">
        <v>14</v>
      </c>
      <c r="H454" s="1" t="s">
        <v>12</v>
      </c>
      <c r="I454" s="1" t="s">
        <v>12</v>
      </c>
      <c r="J454" s="3">
        <v>6.479981875</v>
      </c>
      <c r="K454" s="3">
        <v>1.5414334E-2</v>
      </c>
      <c r="L454" s="3" t="s">
        <v>12</v>
      </c>
    </row>
    <row r="455" spans="1:12" x14ac:dyDescent="0.2">
      <c r="A455" s="2">
        <v>8</v>
      </c>
      <c r="B455" s="2">
        <v>256</v>
      </c>
      <c r="C455" s="2">
        <v>256</v>
      </c>
      <c r="D455" s="2">
        <v>54</v>
      </c>
      <c r="E455" s="4" t="s">
        <v>12</v>
      </c>
      <c r="F455" s="4">
        <v>2.5627499999999999E-3</v>
      </c>
      <c r="G455" s="2">
        <v>14</v>
      </c>
      <c r="H455" s="1" t="s">
        <v>12</v>
      </c>
      <c r="I455" s="1" t="s">
        <v>12</v>
      </c>
      <c r="J455" s="3">
        <v>6.479981875</v>
      </c>
      <c r="K455" s="3">
        <v>1.5414334E-2</v>
      </c>
      <c r="L455" s="3" t="s">
        <v>12</v>
      </c>
    </row>
    <row r="456" spans="1:12" x14ac:dyDescent="0.2">
      <c r="A456" s="2">
        <v>8</v>
      </c>
      <c r="B456" s="2">
        <v>256</v>
      </c>
      <c r="C456" s="2">
        <v>256</v>
      </c>
      <c r="D456" s="2">
        <v>55</v>
      </c>
      <c r="E456" s="4" t="s">
        <v>12</v>
      </c>
      <c r="F456" s="4">
        <v>6.9929579999999996E-3</v>
      </c>
      <c r="G456" s="2">
        <v>14</v>
      </c>
      <c r="H456" s="1" t="s">
        <v>12</v>
      </c>
      <c r="I456" s="1" t="s">
        <v>12</v>
      </c>
      <c r="J456" s="3">
        <v>6.479981875</v>
      </c>
      <c r="K456" s="3">
        <v>1.5414334E-2</v>
      </c>
      <c r="L456" s="3" t="s">
        <v>12</v>
      </c>
    </row>
    <row r="457" spans="1:12" x14ac:dyDescent="0.2">
      <c r="A457" s="2">
        <v>8</v>
      </c>
      <c r="B457" s="2">
        <v>256</v>
      </c>
      <c r="C457" s="2">
        <v>256</v>
      </c>
      <c r="D457" s="2">
        <v>56</v>
      </c>
      <c r="E457" s="4" t="s">
        <v>12</v>
      </c>
      <c r="F457" s="4">
        <v>2.7610830000000001E-3</v>
      </c>
      <c r="G457" s="2">
        <v>14</v>
      </c>
      <c r="H457" s="1" t="s">
        <v>12</v>
      </c>
      <c r="I457" s="1" t="s">
        <v>12</v>
      </c>
      <c r="J457" s="3">
        <v>6.479981875</v>
      </c>
      <c r="K457" s="3">
        <v>1.5414334E-2</v>
      </c>
      <c r="L457" s="3" t="s">
        <v>12</v>
      </c>
    </row>
    <row r="458" spans="1:12" x14ac:dyDescent="0.2">
      <c r="A458" s="2">
        <v>8</v>
      </c>
      <c r="B458" s="2">
        <v>256</v>
      </c>
      <c r="C458" s="2">
        <v>256</v>
      </c>
      <c r="D458" s="2">
        <v>57</v>
      </c>
      <c r="E458" s="4" t="s">
        <v>12</v>
      </c>
      <c r="F458" s="4">
        <v>2.524625E-3</v>
      </c>
      <c r="G458" s="2">
        <v>14</v>
      </c>
      <c r="H458" s="1" t="s">
        <v>12</v>
      </c>
      <c r="I458" s="1" t="s">
        <v>12</v>
      </c>
      <c r="J458" s="3">
        <v>6.479981875</v>
      </c>
      <c r="K458" s="3">
        <v>1.5414334E-2</v>
      </c>
      <c r="L458" s="3" t="s">
        <v>12</v>
      </c>
    </row>
    <row r="459" spans="1:12" x14ac:dyDescent="0.2">
      <c r="A459" s="2">
        <v>8</v>
      </c>
      <c r="B459" s="2">
        <v>256</v>
      </c>
      <c r="C459" s="2">
        <v>256</v>
      </c>
      <c r="D459" s="2">
        <v>58</v>
      </c>
      <c r="E459" s="4" t="s">
        <v>12</v>
      </c>
      <c r="F459" s="4">
        <v>2.4875000000000001E-3</v>
      </c>
      <c r="G459" s="2">
        <v>14</v>
      </c>
      <c r="H459" s="1" t="s">
        <v>12</v>
      </c>
      <c r="I459" s="1" t="s">
        <v>12</v>
      </c>
      <c r="J459" s="3">
        <v>6.479981875</v>
      </c>
      <c r="K459" s="3">
        <v>1.5414334E-2</v>
      </c>
      <c r="L459" s="3" t="s">
        <v>12</v>
      </c>
    </row>
    <row r="460" spans="1:12" x14ac:dyDescent="0.2">
      <c r="A460" s="2">
        <v>8</v>
      </c>
      <c r="B460" s="2">
        <v>256</v>
      </c>
      <c r="C460" s="2">
        <v>256</v>
      </c>
      <c r="D460" s="2">
        <v>59</v>
      </c>
      <c r="E460" s="4" t="s">
        <v>12</v>
      </c>
      <c r="F460" s="4">
        <v>2.6479590000000001E-3</v>
      </c>
      <c r="G460" s="2">
        <v>14</v>
      </c>
      <c r="H460" s="1" t="s">
        <v>12</v>
      </c>
      <c r="I460" s="1" t="s">
        <v>12</v>
      </c>
      <c r="J460" s="3">
        <v>6.479981875</v>
      </c>
      <c r="K460" s="3">
        <v>1.5414334E-2</v>
      </c>
      <c r="L460" s="3" t="s">
        <v>12</v>
      </c>
    </row>
    <row r="461" spans="1:12" x14ac:dyDescent="0.2">
      <c r="A461" s="2">
        <v>8</v>
      </c>
      <c r="B461" s="2">
        <v>256</v>
      </c>
      <c r="C461" s="2">
        <v>256</v>
      </c>
      <c r="D461" s="2">
        <v>60</v>
      </c>
      <c r="E461" s="4" t="s">
        <v>12</v>
      </c>
      <c r="F461" s="4">
        <v>2.412291E-3</v>
      </c>
      <c r="G461" s="2">
        <v>14</v>
      </c>
      <c r="H461" s="1" t="s">
        <v>12</v>
      </c>
      <c r="I461" s="1" t="s">
        <v>12</v>
      </c>
      <c r="J461" s="3">
        <v>6.479981875</v>
      </c>
      <c r="K461" s="3">
        <v>1.5414334E-2</v>
      </c>
      <c r="L461" s="3" t="s">
        <v>12</v>
      </c>
    </row>
    <row r="462" spans="1:12" x14ac:dyDescent="0.2">
      <c r="A462" s="2">
        <v>8</v>
      </c>
      <c r="B462" s="2">
        <v>256</v>
      </c>
      <c r="C462" s="2">
        <v>256</v>
      </c>
      <c r="D462" s="2">
        <v>61</v>
      </c>
      <c r="E462" s="4" t="s">
        <v>12</v>
      </c>
      <c r="F462" s="4">
        <v>2.5959580000000002E-3</v>
      </c>
      <c r="G462" s="2">
        <v>14</v>
      </c>
      <c r="H462" s="1" t="s">
        <v>12</v>
      </c>
      <c r="I462" s="1" t="s">
        <v>12</v>
      </c>
      <c r="J462" s="3">
        <v>6.479981875</v>
      </c>
      <c r="K462" s="3">
        <v>1.5414334E-2</v>
      </c>
      <c r="L462" s="3" t="s">
        <v>12</v>
      </c>
    </row>
    <row r="463" spans="1:12" x14ac:dyDescent="0.2">
      <c r="A463" s="2">
        <v>8</v>
      </c>
      <c r="B463" s="2">
        <v>256</v>
      </c>
      <c r="C463" s="2">
        <v>256</v>
      </c>
      <c r="D463" s="2">
        <v>62</v>
      </c>
      <c r="E463" s="4" t="s">
        <v>12</v>
      </c>
      <c r="F463" s="4">
        <v>2.5926249999999999E-3</v>
      </c>
      <c r="G463" s="2">
        <v>14</v>
      </c>
      <c r="H463" s="1" t="s">
        <v>12</v>
      </c>
      <c r="I463" s="1" t="s">
        <v>12</v>
      </c>
      <c r="J463" s="3">
        <v>6.479981875</v>
      </c>
      <c r="K463" s="3">
        <v>1.5414334E-2</v>
      </c>
      <c r="L463" s="3" t="s">
        <v>12</v>
      </c>
    </row>
    <row r="464" spans="1:12" x14ac:dyDescent="0.2">
      <c r="A464" s="2">
        <v>8</v>
      </c>
      <c r="B464" s="2">
        <v>256</v>
      </c>
      <c r="C464" s="2">
        <v>256</v>
      </c>
      <c r="D464" s="2">
        <v>63</v>
      </c>
      <c r="E464" s="4" t="s">
        <v>12</v>
      </c>
      <c r="F464" s="4">
        <v>2.3290419999999999E-3</v>
      </c>
      <c r="G464" s="2">
        <v>14</v>
      </c>
      <c r="H464" s="1" t="s">
        <v>12</v>
      </c>
      <c r="I464" s="1" t="s">
        <v>12</v>
      </c>
      <c r="J464" s="3">
        <v>6.479981875</v>
      </c>
      <c r="K464" s="3">
        <v>1.5414334E-2</v>
      </c>
      <c r="L464" s="3" t="s">
        <v>12</v>
      </c>
    </row>
    <row r="465" spans="1:12" x14ac:dyDescent="0.2">
      <c r="A465" s="2">
        <v>8</v>
      </c>
      <c r="B465" s="2">
        <v>256</v>
      </c>
      <c r="C465" s="2">
        <v>256</v>
      </c>
      <c r="D465" s="2">
        <v>64</v>
      </c>
      <c r="E465" s="4" t="s">
        <v>12</v>
      </c>
      <c r="F465" s="4">
        <v>2.8099169999999999E-3</v>
      </c>
      <c r="G465" s="2">
        <v>14</v>
      </c>
      <c r="H465" s="1" t="s">
        <v>12</v>
      </c>
      <c r="I465" s="1" t="s">
        <v>12</v>
      </c>
      <c r="J465" s="3">
        <v>6.479981875</v>
      </c>
      <c r="K465" s="3">
        <v>1.5414334E-2</v>
      </c>
      <c r="L465" s="3" t="s">
        <v>12</v>
      </c>
    </row>
    <row r="466" spans="1:12" x14ac:dyDescent="0.2">
      <c r="A466" s="2">
        <v>8</v>
      </c>
      <c r="B466" s="2">
        <v>256</v>
      </c>
      <c r="C466" s="2">
        <v>256</v>
      </c>
      <c r="D466" s="2">
        <v>65</v>
      </c>
      <c r="E466" s="4" t="s">
        <v>12</v>
      </c>
      <c r="F466" s="4">
        <v>2.7230840000000002E-3</v>
      </c>
      <c r="G466" s="2">
        <v>14</v>
      </c>
      <c r="H466" s="1" t="s">
        <v>12</v>
      </c>
      <c r="I466" s="1" t="s">
        <v>12</v>
      </c>
      <c r="J466" s="3">
        <v>6.479981875</v>
      </c>
      <c r="K466" s="3">
        <v>1.5414334E-2</v>
      </c>
      <c r="L466" s="3" t="s">
        <v>12</v>
      </c>
    </row>
    <row r="467" spans="1:12" x14ac:dyDescent="0.2">
      <c r="A467" s="2">
        <v>8</v>
      </c>
      <c r="B467" s="2">
        <v>256</v>
      </c>
      <c r="C467" s="2">
        <v>256</v>
      </c>
      <c r="D467" s="2">
        <v>66</v>
      </c>
      <c r="E467" s="4" t="s">
        <v>12</v>
      </c>
      <c r="F467" s="4">
        <v>2.3734580000000002E-3</v>
      </c>
      <c r="G467" s="2">
        <v>14</v>
      </c>
      <c r="H467" s="1" t="s">
        <v>12</v>
      </c>
      <c r="I467" s="1" t="s">
        <v>12</v>
      </c>
      <c r="J467" s="3">
        <v>6.479981875</v>
      </c>
      <c r="K467" s="3">
        <v>1.5414334E-2</v>
      </c>
      <c r="L467" s="3" t="s">
        <v>12</v>
      </c>
    </row>
    <row r="468" spans="1:12" x14ac:dyDescent="0.2">
      <c r="A468" s="2">
        <v>8</v>
      </c>
      <c r="B468" s="2">
        <v>256</v>
      </c>
      <c r="C468" s="2">
        <v>256</v>
      </c>
      <c r="D468" s="2">
        <v>67</v>
      </c>
      <c r="E468" s="4" t="s">
        <v>12</v>
      </c>
      <c r="F468" s="4">
        <v>2.8790830000000002E-3</v>
      </c>
      <c r="G468" s="2">
        <v>14</v>
      </c>
      <c r="H468" s="1" t="s">
        <v>12</v>
      </c>
      <c r="I468" s="1" t="s">
        <v>12</v>
      </c>
      <c r="J468" s="3">
        <v>6.479981875</v>
      </c>
      <c r="K468" s="3">
        <v>1.5414334E-2</v>
      </c>
      <c r="L468" s="3" t="s">
        <v>12</v>
      </c>
    </row>
    <row r="469" spans="1:12" x14ac:dyDescent="0.2">
      <c r="A469" s="2">
        <v>8</v>
      </c>
      <c r="B469" s="2">
        <v>256</v>
      </c>
      <c r="C469" s="2">
        <v>256</v>
      </c>
      <c r="D469" s="2">
        <v>68</v>
      </c>
      <c r="E469" s="4" t="s">
        <v>12</v>
      </c>
      <c r="F469" s="4">
        <v>2.4880409999999999E-3</v>
      </c>
      <c r="G469" s="2">
        <v>14</v>
      </c>
      <c r="H469" s="1" t="s">
        <v>12</v>
      </c>
      <c r="I469" s="1" t="s">
        <v>12</v>
      </c>
      <c r="J469" s="3">
        <v>6.479981875</v>
      </c>
      <c r="K469" s="3">
        <v>1.5414334E-2</v>
      </c>
      <c r="L469" s="3" t="s">
        <v>12</v>
      </c>
    </row>
    <row r="470" spans="1:12" x14ac:dyDescent="0.2">
      <c r="A470" s="2">
        <v>8</v>
      </c>
      <c r="B470" s="2">
        <v>256</v>
      </c>
      <c r="C470" s="2">
        <v>256</v>
      </c>
      <c r="D470" s="2">
        <v>69</v>
      </c>
      <c r="E470" s="4" t="s">
        <v>12</v>
      </c>
      <c r="F470" s="4">
        <v>2.750583E-3</v>
      </c>
      <c r="G470" s="2">
        <v>14</v>
      </c>
      <c r="H470" s="1" t="s">
        <v>12</v>
      </c>
      <c r="I470" s="1" t="s">
        <v>12</v>
      </c>
      <c r="J470" s="3">
        <v>6.479981875</v>
      </c>
      <c r="K470" s="3">
        <v>1.5414334E-2</v>
      </c>
      <c r="L470" s="3" t="s">
        <v>12</v>
      </c>
    </row>
    <row r="471" spans="1:12" x14ac:dyDescent="0.2">
      <c r="A471" s="2">
        <v>8</v>
      </c>
      <c r="B471" s="2">
        <v>256</v>
      </c>
      <c r="C471" s="2">
        <v>256</v>
      </c>
      <c r="D471" s="2">
        <v>70</v>
      </c>
      <c r="E471" s="4" t="s">
        <v>12</v>
      </c>
      <c r="F471" s="4">
        <v>2.9725419999999999E-3</v>
      </c>
      <c r="G471" s="2">
        <v>14</v>
      </c>
      <c r="H471" s="1" t="s">
        <v>12</v>
      </c>
      <c r="I471" s="1" t="s">
        <v>12</v>
      </c>
      <c r="J471" s="3">
        <v>6.479981875</v>
      </c>
      <c r="K471" s="3">
        <v>1.5414334E-2</v>
      </c>
      <c r="L471" s="3" t="s">
        <v>12</v>
      </c>
    </row>
    <row r="472" spans="1:12" x14ac:dyDescent="0.2">
      <c r="A472" s="2">
        <v>8</v>
      </c>
      <c r="B472" s="2">
        <v>256</v>
      </c>
      <c r="C472" s="2">
        <v>256</v>
      </c>
      <c r="D472" s="2">
        <v>71</v>
      </c>
      <c r="E472" s="4" t="s">
        <v>12</v>
      </c>
      <c r="F472" s="4">
        <v>2.4699589999999999E-3</v>
      </c>
      <c r="G472" s="2">
        <v>14</v>
      </c>
      <c r="H472" s="1" t="s">
        <v>12</v>
      </c>
      <c r="I472" s="1" t="s">
        <v>12</v>
      </c>
      <c r="J472" s="3">
        <v>6.479981875</v>
      </c>
      <c r="K472" s="3">
        <v>1.5414334E-2</v>
      </c>
      <c r="L472" s="3" t="s">
        <v>12</v>
      </c>
    </row>
    <row r="473" spans="1:12" x14ac:dyDescent="0.2">
      <c r="A473" s="2">
        <v>8</v>
      </c>
      <c r="B473" s="2">
        <v>256</v>
      </c>
      <c r="C473" s="2">
        <v>256</v>
      </c>
      <c r="D473" s="2">
        <v>72</v>
      </c>
      <c r="E473" s="4" t="s">
        <v>12</v>
      </c>
      <c r="F473" s="4">
        <v>2.8751670000000001E-3</v>
      </c>
      <c r="G473" s="2">
        <v>14</v>
      </c>
      <c r="H473" s="1" t="s">
        <v>12</v>
      </c>
      <c r="I473" s="1" t="s">
        <v>12</v>
      </c>
      <c r="J473" s="3">
        <v>6.479981875</v>
      </c>
      <c r="K473" s="3">
        <v>1.5414334E-2</v>
      </c>
      <c r="L473" s="3" t="s">
        <v>12</v>
      </c>
    </row>
    <row r="474" spans="1:12" x14ac:dyDescent="0.2">
      <c r="A474" s="2">
        <v>8</v>
      </c>
      <c r="B474" s="2">
        <v>256</v>
      </c>
      <c r="C474" s="2">
        <v>256</v>
      </c>
      <c r="D474" s="2">
        <v>73</v>
      </c>
      <c r="E474" s="4" t="s">
        <v>12</v>
      </c>
      <c r="F474" s="4">
        <v>2.5850830000000002E-3</v>
      </c>
      <c r="G474" s="2">
        <v>14</v>
      </c>
      <c r="H474" s="1" t="s">
        <v>12</v>
      </c>
      <c r="I474" s="1" t="s">
        <v>12</v>
      </c>
      <c r="J474" s="3">
        <v>6.479981875</v>
      </c>
      <c r="K474" s="3">
        <v>1.5414334E-2</v>
      </c>
      <c r="L474" s="3" t="s">
        <v>12</v>
      </c>
    </row>
    <row r="475" spans="1:12" x14ac:dyDescent="0.2">
      <c r="A475" s="2">
        <v>8</v>
      </c>
      <c r="B475" s="2">
        <v>256</v>
      </c>
      <c r="C475" s="2">
        <v>256</v>
      </c>
      <c r="D475" s="2">
        <v>74</v>
      </c>
      <c r="E475" s="4" t="s">
        <v>12</v>
      </c>
      <c r="F475" s="4">
        <v>2.8857499999999999E-3</v>
      </c>
      <c r="G475" s="2">
        <v>14</v>
      </c>
      <c r="H475" s="1" t="s">
        <v>12</v>
      </c>
      <c r="I475" s="1" t="s">
        <v>12</v>
      </c>
      <c r="J475" s="3">
        <v>6.479981875</v>
      </c>
      <c r="K475" s="3">
        <v>1.5414334E-2</v>
      </c>
      <c r="L475" s="3" t="s">
        <v>12</v>
      </c>
    </row>
    <row r="476" spans="1:12" x14ac:dyDescent="0.2">
      <c r="A476" s="2">
        <v>8</v>
      </c>
      <c r="B476" s="2">
        <v>256</v>
      </c>
      <c r="C476" s="2">
        <v>256</v>
      </c>
      <c r="D476" s="2">
        <v>75</v>
      </c>
      <c r="E476" s="4" t="s">
        <v>12</v>
      </c>
      <c r="F476" s="4">
        <v>2.5427090000000002E-3</v>
      </c>
      <c r="G476" s="2">
        <v>14</v>
      </c>
      <c r="H476" s="1" t="s">
        <v>12</v>
      </c>
      <c r="I476" s="1" t="s">
        <v>12</v>
      </c>
      <c r="J476" s="3">
        <v>6.479981875</v>
      </c>
      <c r="K476" s="3">
        <v>1.5414334E-2</v>
      </c>
      <c r="L476" s="3" t="s">
        <v>12</v>
      </c>
    </row>
    <row r="477" spans="1:12" x14ac:dyDescent="0.2">
      <c r="A477" s="2">
        <v>8</v>
      </c>
      <c r="B477" s="2">
        <v>256</v>
      </c>
      <c r="C477" s="2">
        <v>256</v>
      </c>
      <c r="D477" s="2">
        <v>76</v>
      </c>
      <c r="E477" s="4" t="s">
        <v>12</v>
      </c>
      <c r="F477" s="4">
        <v>2.5162919999999998E-3</v>
      </c>
      <c r="G477" s="2">
        <v>14</v>
      </c>
      <c r="H477" s="1" t="s">
        <v>12</v>
      </c>
      <c r="I477" s="1" t="s">
        <v>12</v>
      </c>
      <c r="J477" s="3">
        <v>6.479981875</v>
      </c>
      <c r="K477" s="3">
        <v>1.5414334E-2</v>
      </c>
      <c r="L477" s="3" t="s">
        <v>12</v>
      </c>
    </row>
    <row r="478" spans="1:12" x14ac:dyDescent="0.2">
      <c r="A478" s="2">
        <v>8</v>
      </c>
      <c r="B478" s="2">
        <v>256</v>
      </c>
      <c r="C478" s="2">
        <v>256</v>
      </c>
      <c r="D478" s="2">
        <v>77</v>
      </c>
      <c r="E478" s="4" t="s">
        <v>12</v>
      </c>
      <c r="F478" s="4">
        <v>2.8694580000000001E-3</v>
      </c>
      <c r="G478" s="2">
        <v>14</v>
      </c>
      <c r="H478" s="1" t="s">
        <v>12</v>
      </c>
      <c r="I478" s="1" t="s">
        <v>12</v>
      </c>
      <c r="J478" s="3">
        <v>6.479981875</v>
      </c>
      <c r="K478" s="3">
        <v>1.5414334E-2</v>
      </c>
      <c r="L478" s="3" t="s">
        <v>12</v>
      </c>
    </row>
    <row r="479" spans="1:12" x14ac:dyDescent="0.2">
      <c r="A479" s="2">
        <v>8</v>
      </c>
      <c r="B479" s="2">
        <v>256</v>
      </c>
      <c r="C479" s="2">
        <v>256</v>
      </c>
      <c r="D479" s="2">
        <v>78</v>
      </c>
      <c r="E479" s="4" t="s">
        <v>12</v>
      </c>
      <c r="F479" s="4">
        <v>3.0432910000000001E-3</v>
      </c>
      <c r="G479" s="2">
        <v>14</v>
      </c>
      <c r="H479" s="1" t="s">
        <v>12</v>
      </c>
      <c r="I479" s="1" t="s">
        <v>12</v>
      </c>
      <c r="J479" s="3">
        <v>6.479981875</v>
      </c>
      <c r="K479" s="3">
        <v>1.5414334E-2</v>
      </c>
      <c r="L479" s="3" t="s">
        <v>12</v>
      </c>
    </row>
    <row r="480" spans="1:12" x14ac:dyDescent="0.2">
      <c r="A480" s="2">
        <v>8</v>
      </c>
      <c r="B480" s="2">
        <v>256</v>
      </c>
      <c r="C480" s="2">
        <v>256</v>
      </c>
      <c r="D480" s="2">
        <v>79</v>
      </c>
      <c r="E480" s="4" t="s">
        <v>12</v>
      </c>
      <c r="F480" s="4">
        <v>7.3161249999999997E-3</v>
      </c>
      <c r="G480" s="2">
        <v>14</v>
      </c>
      <c r="H480" s="1" t="s">
        <v>12</v>
      </c>
      <c r="I480" s="1" t="s">
        <v>12</v>
      </c>
      <c r="J480" s="3">
        <v>6.479981875</v>
      </c>
      <c r="K480" s="3">
        <v>1.5414334E-2</v>
      </c>
      <c r="L480" s="3" t="s">
        <v>12</v>
      </c>
    </row>
    <row r="481" spans="1:12" x14ac:dyDescent="0.2">
      <c r="A481" s="2">
        <v>8</v>
      </c>
      <c r="B481" s="2">
        <v>256</v>
      </c>
      <c r="C481" s="2">
        <v>256</v>
      </c>
      <c r="D481" s="2">
        <v>80</v>
      </c>
      <c r="E481" s="4" t="s">
        <v>12</v>
      </c>
      <c r="F481" s="4">
        <v>2.3213750000000001E-3</v>
      </c>
      <c r="G481" s="2">
        <v>14</v>
      </c>
      <c r="H481" s="1" t="s">
        <v>12</v>
      </c>
      <c r="I481" s="1" t="s">
        <v>12</v>
      </c>
      <c r="J481" s="3">
        <v>6.479981875</v>
      </c>
      <c r="K481" s="3">
        <v>1.5414334E-2</v>
      </c>
      <c r="L481" s="3" t="s">
        <v>12</v>
      </c>
    </row>
    <row r="482" spans="1:12" x14ac:dyDescent="0.2">
      <c r="A482" s="2">
        <v>8</v>
      </c>
      <c r="B482" s="2">
        <v>256</v>
      </c>
      <c r="C482" s="2">
        <v>256</v>
      </c>
      <c r="D482" s="2">
        <v>81</v>
      </c>
      <c r="E482" s="4" t="s">
        <v>12</v>
      </c>
      <c r="F482" s="4">
        <v>2.5895829999999999E-3</v>
      </c>
      <c r="G482" s="2">
        <v>14</v>
      </c>
      <c r="H482" s="1" t="s">
        <v>12</v>
      </c>
      <c r="I482" s="1" t="s">
        <v>12</v>
      </c>
      <c r="J482" s="3">
        <v>6.479981875</v>
      </c>
      <c r="K482" s="3">
        <v>1.5414334E-2</v>
      </c>
      <c r="L482" s="3" t="s">
        <v>12</v>
      </c>
    </row>
    <row r="483" spans="1:12" x14ac:dyDescent="0.2">
      <c r="A483" s="2">
        <v>8</v>
      </c>
      <c r="B483" s="2">
        <v>256</v>
      </c>
      <c r="C483" s="2">
        <v>256</v>
      </c>
      <c r="D483" s="2">
        <v>82</v>
      </c>
      <c r="E483" s="4" t="s">
        <v>12</v>
      </c>
      <c r="F483" s="4">
        <v>2.490833E-3</v>
      </c>
      <c r="G483" s="2">
        <v>14</v>
      </c>
      <c r="H483" s="1" t="s">
        <v>12</v>
      </c>
      <c r="I483" s="1" t="s">
        <v>12</v>
      </c>
      <c r="J483" s="3">
        <v>6.479981875</v>
      </c>
      <c r="K483" s="3">
        <v>1.5414334E-2</v>
      </c>
      <c r="L483" s="3" t="s">
        <v>12</v>
      </c>
    </row>
    <row r="484" spans="1:12" x14ac:dyDescent="0.2">
      <c r="A484" s="2">
        <v>8</v>
      </c>
      <c r="B484" s="2">
        <v>256</v>
      </c>
      <c r="C484" s="2">
        <v>256</v>
      </c>
      <c r="D484" s="2">
        <v>83</v>
      </c>
      <c r="E484" s="4" t="s">
        <v>12</v>
      </c>
      <c r="F484" s="4">
        <v>2.6687080000000001E-3</v>
      </c>
      <c r="G484" s="2">
        <v>14</v>
      </c>
      <c r="H484" s="1" t="s">
        <v>12</v>
      </c>
      <c r="I484" s="1" t="s">
        <v>12</v>
      </c>
      <c r="J484" s="3">
        <v>6.479981875</v>
      </c>
      <c r="K484" s="3">
        <v>1.5414334E-2</v>
      </c>
      <c r="L484" s="3" t="s">
        <v>12</v>
      </c>
    </row>
    <row r="485" spans="1:12" x14ac:dyDescent="0.2">
      <c r="A485" s="2">
        <v>8</v>
      </c>
      <c r="B485" s="2">
        <v>256</v>
      </c>
      <c r="C485" s="2">
        <v>256</v>
      </c>
      <c r="D485" s="2">
        <v>84</v>
      </c>
      <c r="E485" s="4" t="s">
        <v>12</v>
      </c>
      <c r="F485" s="4">
        <v>2.6600840000000001E-3</v>
      </c>
      <c r="G485" s="2">
        <v>13</v>
      </c>
      <c r="H485" s="1" t="s">
        <v>12</v>
      </c>
      <c r="I485" s="1" t="s">
        <v>12</v>
      </c>
      <c r="J485" s="3">
        <v>6.479981875</v>
      </c>
      <c r="K485" s="3">
        <v>1.5414334E-2</v>
      </c>
      <c r="L485" s="3" t="s">
        <v>12</v>
      </c>
    </row>
    <row r="486" spans="1:12" x14ac:dyDescent="0.2">
      <c r="A486" s="2">
        <v>8</v>
      </c>
      <c r="B486" s="2">
        <v>256</v>
      </c>
      <c r="C486" s="2">
        <v>256</v>
      </c>
      <c r="D486" s="2">
        <v>85</v>
      </c>
      <c r="E486" s="4" t="s">
        <v>12</v>
      </c>
      <c r="F486" s="4">
        <v>3.5309159999999998E-3</v>
      </c>
      <c r="G486" s="2">
        <v>13</v>
      </c>
      <c r="H486" s="1" t="s">
        <v>12</v>
      </c>
      <c r="I486" s="1" t="s">
        <v>12</v>
      </c>
      <c r="J486" s="3">
        <v>6.479981875</v>
      </c>
      <c r="K486" s="3">
        <v>1.5414334E-2</v>
      </c>
      <c r="L486" s="3" t="s">
        <v>12</v>
      </c>
    </row>
    <row r="487" spans="1:12" x14ac:dyDescent="0.2">
      <c r="A487" s="2">
        <v>8</v>
      </c>
      <c r="B487" s="2">
        <v>256</v>
      </c>
      <c r="C487" s="2">
        <v>256</v>
      </c>
      <c r="D487" s="2">
        <v>86</v>
      </c>
      <c r="E487" s="4" t="s">
        <v>12</v>
      </c>
      <c r="F487" s="4">
        <v>2.440958E-3</v>
      </c>
      <c r="G487" s="2">
        <v>13</v>
      </c>
      <c r="H487" s="1" t="s">
        <v>12</v>
      </c>
      <c r="I487" s="1" t="s">
        <v>12</v>
      </c>
      <c r="J487" s="3">
        <v>6.479981875</v>
      </c>
      <c r="K487" s="3">
        <v>1.5414334E-2</v>
      </c>
      <c r="L487" s="3" t="s">
        <v>12</v>
      </c>
    </row>
    <row r="488" spans="1:12" x14ac:dyDescent="0.2">
      <c r="A488" s="2">
        <v>8</v>
      </c>
      <c r="B488" s="2">
        <v>256</v>
      </c>
      <c r="C488" s="2">
        <v>256</v>
      </c>
      <c r="D488" s="2">
        <v>87</v>
      </c>
      <c r="E488" s="4" t="s">
        <v>12</v>
      </c>
      <c r="F488" s="4">
        <v>2.2682499999999999E-3</v>
      </c>
      <c r="G488" s="2">
        <v>13</v>
      </c>
      <c r="H488" s="1" t="s">
        <v>12</v>
      </c>
      <c r="I488" s="1" t="s">
        <v>12</v>
      </c>
      <c r="J488" s="3">
        <v>6.479981875</v>
      </c>
      <c r="K488" s="3">
        <v>1.5414334E-2</v>
      </c>
      <c r="L488" s="3" t="s">
        <v>12</v>
      </c>
    </row>
    <row r="489" spans="1:12" x14ac:dyDescent="0.2">
      <c r="A489" s="2">
        <v>8</v>
      </c>
      <c r="B489" s="2">
        <v>256</v>
      </c>
      <c r="C489" s="2">
        <v>256</v>
      </c>
      <c r="D489" s="2">
        <v>88</v>
      </c>
      <c r="E489" s="4" t="s">
        <v>12</v>
      </c>
      <c r="F489" s="4">
        <v>2.5431249999999998E-3</v>
      </c>
      <c r="G489" s="2">
        <v>13</v>
      </c>
      <c r="H489" s="1" t="s">
        <v>12</v>
      </c>
      <c r="I489" s="1" t="s">
        <v>12</v>
      </c>
      <c r="J489" s="3">
        <v>6.479981875</v>
      </c>
      <c r="K489" s="3">
        <v>1.5414334E-2</v>
      </c>
      <c r="L489" s="3" t="s">
        <v>12</v>
      </c>
    </row>
    <row r="490" spans="1:12" x14ac:dyDescent="0.2">
      <c r="A490" s="2">
        <v>8</v>
      </c>
      <c r="B490" s="2">
        <v>256</v>
      </c>
      <c r="C490" s="2">
        <v>256</v>
      </c>
      <c r="D490" s="2">
        <v>89</v>
      </c>
      <c r="E490" s="4" t="s">
        <v>12</v>
      </c>
      <c r="F490" s="4">
        <v>2.9692080000000001E-3</v>
      </c>
      <c r="G490" s="2">
        <v>13</v>
      </c>
      <c r="H490" s="1" t="s">
        <v>12</v>
      </c>
      <c r="I490" s="1" t="s">
        <v>12</v>
      </c>
      <c r="J490" s="3">
        <v>6.479981875</v>
      </c>
      <c r="K490" s="3">
        <v>1.5414334E-2</v>
      </c>
      <c r="L490" s="3" t="s">
        <v>12</v>
      </c>
    </row>
    <row r="491" spans="1:12" x14ac:dyDescent="0.2">
      <c r="A491" s="2">
        <v>8</v>
      </c>
      <c r="B491" s="2">
        <v>256</v>
      </c>
      <c r="C491" s="2">
        <v>256</v>
      </c>
      <c r="D491" s="2">
        <v>90</v>
      </c>
      <c r="E491" s="4" t="s">
        <v>12</v>
      </c>
      <c r="F491" s="4">
        <v>2.6678750000000001E-3</v>
      </c>
      <c r="G491" s="2">
        <v>13</v>
      </c>
      <c r="H491" s="1" t="s">
        <v>12</v>
      </c>
      <c r="I491" s="1" t="s">
        <v>12</v>
      </c>
      <c r="J491" s="3">
        <v>6.479981875</v>
      </c>
      <c r="K491" s="3">
        <v>1.5414334E-2</v>
      </c>
      <c r="L491" s="3" t="s">
        <v>12</v>
      </c>
    </row>
    <row r="492" spans="1:12" x14ac:dyDescent="0.2">
      <c r="A492" s="2">
        <v>8</v>
      </c>
      <c r="B492" s="2">
        <v>256</v>
      </c>
      <c r="C492" s="2">
        <v>256</v>
      </c>
      <c r="D492" s="2">
        <v>91</v>
      </c>
      <c r="E492" s="4" t="s">
        <v>12</v>
      </c>
      <c r="F492" s="4">
        <v>2.8622500000000002E-3</v>
      </c>
      <c r="G492" s="2">
        <v>13</v>
      </c>
      <c r="H492" s="1" t="s">
        <v>12</v>
      </c>
      <c r="I492" s="1" t="s">
        <v>12</v>
      </c>
      <c r="J492" s="3">
        <v>6.479981875</v>
      </c>
      <c r="K492" s="3">
        <v>1.5414334E-2</v>
      </c>
      <c r="L492" s="3" t="s">
        <v>12</v>
      </c>
    </row>
    <row r="493" spans="1:12" x14ac:dyDescent="0.2">
      <c r="A493" s="2">
        <v>8</v>
      </c>
      <c r="B493" s="2">
        <v>256</v>
      </c>
      <c r="C493" s="2">
        <v>256</v>
      </c>
      <c r="D493" s="2">
        <v>92</v>
      </c>
      <c r="E493" s="4" t="s">
        <v>12</v>
      </c>
      <c r="F493" s="4">
        <v>2.253625E-3</v>
      </c>
      <c r="G493" s="2">
        <v>13</v>
      </c>
      <c r="H493" s="1" t="s">
        <v>12</v>
      </c>
      <c r="I493" s="1" t="s">
        <v>12</v>
      </c>
      <c r="J493" s="3">
        <v>6.479981875</v>
      </c>
      <c r="K493" s="3">
        <v>1.5414334E-2</v>
      </c>
      <c r="L493" s="3" t="s">
        <v>12</v>
      </c>
    </row>
    <row r="494" spans="1:12" x14ac:dyDescent="0.2">
      <c r="A494" s="2">
        <v>8</v>
      </c>
      <c r="B494" s="2">
        <v>256</v>
      </c>
      <c r="C494" s="2">
        <v>256</v>
      </c>
      <c r="D494" s="2">
        <v>93</v>
      </c>
      <c r="E494" s="4" t="s">
        <v>12</v>
      </c>
      <c r="F494" s="4">
        <v>3.59275E-3</v>
      </c>
      <c r="G494" s="2">
        <v>13</v>
      </c>
      <c r="H494" s="1" t="s">
        <v>12</v>
      </c>
      <c r="I494" s="1" t="s">
        <v>12</v>
      </c>
      <c r="J494" s="3">
        <v>6.479981875</v>
      </c>
      <c r="K494" s="3">
        <v>1.5414334E-2</v>
      </c>
      <c r="L494" s="3" t="s">
        <v>12</v>
      </c>
    </row>
    <row r="495" spans="1:12" x14ac:dyDescent="0.2">
      <c r="A495" s="2">
        <v>8</v>
      </c>
      <c r="B495" s="2">
        <v>256</v>
      </c>
      <c r="C495" s="2">
        <v>256</v>
      </c>
      <c r="D495" s="2">
        <v>94</v>
      </c>
      <c r="E495" s="4" t="s">
        <v>12</v>
      </c>
      <c r="F495" s="4">
        <v>2.4518750000000001E-3</v>
      </c>
      <c r="G495" s="2">
        <v>13</v>
      </c>
      <c r="H495" s="1" t="s">
        <v>12</v>
      </c>
      <c r="I495" s="1" t="s">
        <v>12</v>
      </c>
      <c r="J495" s="3">
        <v>6.479981875</v>
      </c>
      <c r="K495" s="3">
        <v>1.5414334E-2</v>
      </c>
      <c r="L495" s="3" t="s">
        <v>12</v>
      </c>
    </row>
    <row r="496" spans="1:12" x14ac:dyDescent="0.2">
      <c r="A496" s="2">
        <v>8</v>
      </c>
      <c r="B496" s="2">
        <v>256</v>
      </c>
      <c r="C496" s="2">
        <v>256</v>
      </c>
      <c r="D496" s="2">
        <v>95</v>
      </c>
      <c r="E496" s="4" t="s">
        <v>12</v>
      </c>
      <c r="F496" s="4">
        <v>2.3589169999999999E-3</v>
      </c>
      <c r="G496" s="2">
        <v>13</v>
      </c>
      <c r="H496" s="1" t="s">
        <v>12</v>
      </c>
      <c r="I496" s="1" t="s">
        <v>12</v>
      </c>
      <c r="J496" s="3">
        <v>6.479981875</v>
      </c>
      <c r="K496" s="3">
        <v>1.5414334E-2</v>
      </c>
      <c r="L496" s="3" t="s">
        <v>12</v>
      </c>
    </row>
    <row r="497" spans="1:12" x14ac:dyDescent="0.2">
      <c r="A497" s="2">
        <v>8</v>
      </c>
      <c r="B497" s="2">
        <v>256</v>
      </c>
      <c r="C497" s="2">
        <v>256</v>
      </c>
      <c r="D497" s="2">
        <v>96</v>
      </c>
      <c r="E497" s="4" t="s">
        <v>12</v>
      </c>
      <c r="F497" s="4">
        <v>2.2515E-3</v>
      </c>
      <c r="G497" s="2">
        <v>13</v>
      </c>
      <c r="H497" s="1" t="s">
        <v>12</v>
      </c>
      <c r="I497" s="1" t="s">
        <v>12</v>
      </c>
      <c r="J497" s="3">
        <v>6.479981875</v>
      </c>
      <c r="K497" s="3">
        <v>1.5414334E-2</v>
      </c>
      <c r="L497" s="3" t="s">
        <v>12</v>
      </c>
    </row>
    <row r="498" spans="1:12" x14ac:dyDescent="0.2">
      <c r="A498" s="2">
        <v>8</v>
      </c>
      <c r="B498" s="2">
        <v>256</v>
      </c>
      <c r="C498" s="2">
        <v>256</v>
      </c>
      <c r="D498" s="2">
        <v>97</v>
      </c>
      <c r="E498" s="4" t="s">
        <v>12</v>
      </c>
      <c r="F498" s="4">
        <v>2.6875829999999999E-3</v>
      </c>
      <c r="G498" s="2">
        <v>13</v>
      </c>
      <c r="H498" s="1" t="s">
        <v>12</v>
      </c>
      <c r="I498" s="1" t="s">
        <v>12</v>
      </c>
      <c r="J498" s="3">
        <v>6.479981875</v>
      </c>
      <c r="K498" s="3">
        <v>1.5414334E-2</v>
      </c>
      <c r="L498" s="3" t="s">
        <v>12</v>
      </c>
    </row>
    <row r="499" spans="1:12" x14ac:dyDescent="0.2">
      <c r="A499" s="2">
        <v>8</v>
      </c>
      <c r="B499" s="2">
        <v>256</v>
      </c>
      <c r="C499" s="2">
        <v>256</v>
      </c>
      <c r="D499" s="2">
        <v>98</v>
      </c>
      <c r="E499" s="4" t="s">
        <v>12</v>
      </c>
      <c r="F499" s="4">
        <v>2.476125E-3</v>
      </c>
      <c r="G499" s="2">
        <v>13</v>
      </c>
      <c r="H499" s="1" t="s">
        <v>12</v>
      </c>
      <c r="I499" s="1" t="s">
        <v>12</v>
      </c>
      <c r="J499" s="3">
        <v>6.479981875</v>
      </c>
      <c r="K499" s="3">
        <v>1.5414334E-2</v>
      </c>
      <c r="L499" s="3" t="s">
        <v>12</v>
      </c>
    </row>
    <row r="500" spans="1:12" x14ac:dyDescent="0.2">
      <c r="A500" s="2">
        <v>8</v>
      </c>
      <c r="B500" s="2">
        <v>256</v>
      </c>
      <c r="C500" s="2">
        <v>256</v>
      </c>
      <c r="D500" s="2">
        <v>99</v>
      </c>
      <c r="E500" s="4" t="s">
        <v>12</v>
      </c>
      <c r="F500" s="4">
        <v>3.2121250000000001E-3</v>
      </c>
      <c r="G500" s="2">
        <v>12</v>
      </c>
      <c r="H500" s="1" t="s">
        <v>12</v>
      </c>
      <c r="I500" s="1" t="s">
        <v>12</v>
      </c>
      <c r="J500" s="3">
        <v>6.479981875</v>
      </c>
      <c r="K500" s="3">
        <v>1.5414334E-2</v>
      </c>
      <c r="L500" s="3" t="s">
        <v>12</v>
      </c>
    </row>
    <row r="501" spans="1:12" x14ac:dyDescent="0.2">
      <c r="A501" s="2">
        <v>8</v>
      </c>
      <c r="B501" s="2">
        <v>256</v>
      </c>
      <c r="C501" s="2">
        <v>256</v>
      </c>
      <c r="D501" s="2">
        <v>100</v>
      </c>
      <c r="E501" s="4" t="s">
        <v>12</v>
      </c>
      <c r="F501" s="4">
        <v>2.8250419999999998E-3</v>
      </c>
      <c r="G501" s="2">
        <v>12</v>
      </c>
      <c r="H501" s="1" t="s">
        <v>12</v>
      </c>
      <c r="I501" s="1" t="s">
        <v>12</v>
      </c>
      <c r="J501" s="3">
        <v>6.479981875</v>
      </c>
      <c r="K501" s="3">
        <v>1.5414334E-2</v>
      </c>
      <c r="L501" s="3" t="s">
        <v>12</v>
      </c>
    </row>
    <row r="502" spans="1:12" x14ac:dyDescent="0.2">
      <c r="A502" s="2">
        <v>9</v>
      </c>
      <c r="B502" s="2">
        <v>512</v>
      </c>
      <c r="C502" s="2">
        <v>512</v>
      </c>
      <c r="D502" s="2">
        <v>1</v>
      </c>
      <c r="E502" s="4" t="s">
        <v>12</v>
      </c>
      <c r="F502" s="4">
        <v>1.7164999999999999E-3</v>
      </c>
      <c r="G502" s="2">
        <v>6</v>
      </c>
      <c r="H502" s="1" t="s">
        <v>12</v>
      </c>
      <c r="I502" s="1" t="s">
        <v>12</v>
      </c>
      <c r="J502" s="3">
        <v>11.572660917</v>
      </c>
      <c r="K502" s="3">
        <v>1.174E-2</v>
      </c>
      <c r="L502" s="3" t="s">
        <v>12</v>
      </c>
    </row>
    <row r="503" spans="1:12" x14ac:dyDescent="0.2">
      <c r="A503" s="2">
        <v>9</v>
      </c>
      <c r="B503" s="2">
        <v>512</v>
      </c>
      <c r="C503" s="2">
        <v>512</v>
      </c>
      <c r="D503" s="2">
        <v>2</v>
      </c>
      <c r="E503" s="4" t="s">
        <v>12</v>
      </c>
      <c r="F503" s="4">
        <v>2.2295840000000002E-3</v>
      </c>
      <c r="G503" s="2">
        <v>10</v>
      </c>
      <c r="H503" s="1" t="s">
        <v>12</v>
      </c>
      <c r="I503" s="1" t="s">
        <v>12</v>
      </c>
      <c r="J503" s="3">
        <v>11.572660917</v>
      </c>
      <c r="K503" s="3">
        <v>1.174E-2</v>
      </c>
      <c r="L503" s="3" t="s">
        <v>12</v>
      </c>
    </row>
    <row r="504" spans="1:12" x14ac:dyDescent="0.2">
      <c r="A504" s="2">
        <v>9</v>
      </c>
      <c r="B504" s="2">
        <v>512</v>
      </c>
      <c r="C504" s="2">
        <v>512</v>
      </c>
      <c r="D504" s="2">
        <v>3</v>
      </c>
      <c r="E504" s="4" t="s">
        <v>12</v>
      </c>
      <c r="F504" s="4">
        <v>3.6190829999999999E-3</v>
      </c>
      <c r="G504" s="2">
        <v>14</v>
      </c>
      <c r="H504" s="1" t="s">
        <v>12</v>
      </c>
      <c r="I504" s="1" t="s">
        <v>12</v>
      </c>
      <c r="J504" s="3">
        <v>11.572660917</v>
      </c>
      <c r="K504" s="3">
        <v>1.174E-2</v>
      </c>
      <c r="L504" s="3" t="s">
        <v>12</v>
      </c>
    </row>
    <row r="505" spans="1:12" x14ac:dyDescent="0.2">
      <c r="A505" s="2">
        <v>9</v>
      </c>
      <c r="B505" s="2">
        <v>512</v>
      </c>
      <c r="C505" s="2">
        <v>512</v>
      </c>
      <c r="D505" s="2">
        <v>4</v>
      </c>
      <c r="E505" s="4" t="s">
        <v>12</v>
      </c>
      <c r="F505" s="4">
        <v>4.0465420000000002E-3</v>
      </c>
      <c r="G505" s="2">
        <v>14</v>
      </c>
      <c r="H505" s="1" t="s">
        <v>12</v>
      </c>
      <c r="I505" s="1" t="s">
        <v>12</v>
      </c>
      <c r="J505" s="3">
        <v>11.572660917</v>
      </c>
      <c r="K505" s="3">
        <v>1.174E-2</v>
      </c>
      <c r="L505" s="3" t="s">
        <v>12</v>
      </c>
    </row>
    <row r="506" spans="1:12" x14ac:dyDescent="0.2">
      <c r="A506" s="2">
        <v>9</v>
      </c>
      <c r="B506" s="2">
        <v>512</v>
      </c>
      <c r="C506" s="2">
        <v>512</v>
      </c>
      <c r="D506" s="2">
        <v>5</v>
      </c>
      <c r="E506" s="4" t="s">
        <v>12</v>
      </c>
      <c r="F506" s="4">
        <v>3.28225E-3</v>
      </c>
      <c r="G506" s="2">
        <v>17</v>
      </c>
      <c r="H506" s="1" t="s">
        <v>12</v>
      </c>
      <c r="I506" s="1" t="s">
        <v>12</v>
      </c>
      <c r="J506" s="3">
        <v>11.572660917</v>
      </c>
      <c r="K506" s="3">
        <v>1.174E-2</v>
      </c>
      <c r="L506" s="3" t="s">
        <v>12</v>
      </c>
    </row>
    <row r="507" spans="1:12" x14ac:dyDescent="0.2">
      <c r="A507" s="2">
        <v>9</v>
      </c>
      <c r="B507" s="2">
        <v>512</v>
      </c>
      <c r="C507" s="2">
        <v>512</v>
      </c>
      <c r="D507" s="2">
        <v>6</v>
      </c>
      <c r="E507" s="4" t="s">
        <v>12</v>
      </c>
      <c r="F507" s="4">
        <v>4.1140839999999996E-3</v>
      </c>
      <c r="G507" s="2">
        <v>17</v>
      </c>
      <c r="H507" s="1" t="s">
        <v>12</v>
      </c>
      <c r="I507" s="1" t="s">
        <v>12</v>
      </c>
      <c r="J507" s="3">
        <v>11.572660917</v>
      </c>
      <c r="K507" s="3">
        <v>1.174E-2</v>
      </c>
      <c r="L507" s="3" t="s">
        <v>12</v>
      </c>
    </row>
    <row r="508" spans="1:12" x14ac:dyDescent="0.2">
      <c r="A508" s="2">
        <v>9</v>
      </c>
      <c r="B508" s="2">
        <v>512</v>
      </c>
      <c r="C508" s="2">
        <v>512</v>
      </c>
      <c r="D508" s="2">
        <v>7</v>
      </c>
      <c r="E508" s="4" t="s">
        <v>12</v>
      </c>
      <c r="F508" s="4">
        <v>3.7165420000000002E-3</v>
      </c>
      <c r="G508" s="2">
        <v>17</v>
      </c>
      <c r="H508" s="1" t="s">
        <v>12</v>
      </c>
      <c r="I508" s="1" t="s">
        <v>12</v>
      </c>
      <c r="J508" s="3">
        <v>11.572660917</v>
      </c>
      <c r="K508" s="3">
        <v>1.174E-2</v>
      </c>
      <c r="L508" s="3" t="s">
        <v>12</v>
      </c>
    </row>
    <row r="509" spans="1:12" x14ac:dyDescent="0.2">
      <c r="A509" s="2">
        <v>9</v>
      </c>
      <c r="B509" s="2">
        <v>512</v>
      </c>
      <c r="C509" s="2">
        <v>512</v>
      </c>
      <c r="D509" s="2">
        <v>8</v>
      </c>
      <c r="E509" s="4" t="s">
        <v>12</v>
      </c>
      <c r="F509" s="4">
        <v>4.0101670000000002E-3</v>
      </c>
      <c r="G509" s="2">
        <v>17</v>
      </c>
      <c r="H509" s="1" t="s">
        <v>12</v>
      </c>
      <c r="I509" s="1" t="s">
        <v>12</v>
      </c>
      <c r="J509" s="3">
        <v>11.572660917</v>
      </c>
      <c r="K509" s="3">
        <v>1.174E-2</v>
      </c>
      <c r="L509" s="3" t="s">
        <v>12</v>
      </c>
    </row>
    <row r="510" spans="1:12" x14ac:dyDescent="0.2">
      <c r="A510" s="2">
        <v>9</v>
      </c>
      <c r="B510" s="2">
        <v>512</v>
      </c>
      <c r="C510" s="2">
        <v>512</v>
      </c>
      <c r="D510" s="2">
        <v>9</v>
      </c>
      <c r="E510" s="4" t="s">
        <v>12</v>
      </c>
      <c r="F510" s="4">
        <v>4.8874579999999999E-3</v>
      </c>
      <c r="G510" s="2">
        <v>17</v>
      </c>
      <c r="H510" s="1" t="s">
        <v>12</v>
      </c>
      <c r="I510" s="1" t="s">
        <v>12</v>
      </c>
      <c r="J510" s="3">
        <v>11.572660917</v>
      </c>
      <c r="K510" s="3">
        <v>1.174E-2</v>
      </c>
      <c r="L510" s="3" t="s">
        <v>12</v>
      </c>
    </row>
    <row r="511" spans="1:12" x14ac:dyDescent="0.2">
      <c r="A511" s="2">
        <v>9</v>
      </c>
      <c r="B511" s="2">
        <v>512</v>
      </c>
      <c r="C511" s="2">
        <v>512</v>
      </c>
      <c r="D511" s="2">
        <v>10</v>
      </c>
      <c r="E511" s="4" t="s">
        <v>12</v>
      </c>
      <c r="F511" s="4">
        <v>4.3725839999999997E-3</v>
      </c>
      <c r="G511" s="2">
        <v>17</v>
      </c>
      <c r="H511" s="1" t="s">
        <v>12</v>
      </c>
      <c r="I511" s="1" t="s">
        <v>12</v>
      </c>
      <c r="J511" s="3">
        <v>11.572660917</v>
      </c>
      <c r="K511" s="3">
        <v>1.174E-2</v>
      </c>
      <c r="L511" s="3" t="s">
        <v>12</v>
      </c>
    </row>
    <row r="512" spans="1:12" x14ac:dyDescent="0.2">
      <c r="A512" s="2">
        <v>9</v>
      </c>
      <c r="B512" s="2">
        <v>512</v>
      </c>
      <c r="C512" s="2">
        <v>512</v>
      </c>
      <c r="D512" s="2">
        <v>11</v>
      </c>
      <c r="E512" s="4" t="s">
        <v>12</v>
      </c>
      <c r="F512" s="4">
        <v>4.4347079999999999E-3</v>
      </c>
      <c r="G512" s="2">
        <v>17</v>
      </c>
      <c r="H512" s="1" t="s">
        <v>12</v>
      </c>
      <c r="I512" s="1" t="s">
        <v>12</v>
      </c>
      <c r="J512" s="3">
        <v>11.572660917</v>
      </c>
      <c r="K512" s="3">
        <v>1.174E-2</v>
      </c>
      <c r="L512" s="3" t="s">
        <v>12</v>
      </c>
    </row>
    <row r="513" spans="1:12" x14ac:dyDescent="0.2">
      <c r="A513" s="2">
        <v>9</v>
      </c>
      <c r="B513" s="2">
        <v>512</v>
      </c>
      <c r="C513" s="2">
        <v>512</v>
      </c>
      <c r="D513" s="2">
        <v>12</v>
      </c>
      <c r="E513" s="4" t="s">
        <v>12</v>
      </c>
      <c r="F513" s="4">
        <v>4.1651250000000004E-3</v>
      </c>
      <c r="G513" s="2">
        <v>17</v>
      </c>
      <c r="H513" s="1" t="s">
        <v>12</v>
      </c>
      <c r="I513" s="1" t="s">
        <v>12</v>
      </c>
      <c r="J513" s="3">
        <v>11.572660917</v>
      </c>
      <c r="K513" s="3">
        <v>1.174E-2</v>
      </c>
      <c r="L513" s="3" t="s">
        <v>12</v>
      </c>
    </row>
    <row r="514" spans="1:12" x14ac:dyDescent="0.2">
      <c r="A514" s="2">
        <v>9</v>
      </c>
      <c r="B514" s="2">
        <v>512</v>
      </c>
      <c r="C514" s="2">
        <v>512</v>
      </c>
      <c r="D514" s="2">
        <v>13</v>
      </c>
      <c r="E514" s="4" t="s">
        <v>12</v>
      </c>
      <c r="F514" s="4">
        <v>1.6691583999999999E-2</v>
      </c>
      <c r="G514" s="2">
        <v>17</v>
      </c>
      <c r="H514" s="1" t="s">
        <v>12</v>
      </c>
      <c r="I514" s="1" t="s">
        <v>12</v>
      </c>
      <c r="J514" s="3">
        <v>11.572660917</v>
      </c>
      <c r="K514" s="3">
        <v>1.174E-2</v>
      </c>
      <c r="L514" s="3" t="s">
        <v>12</v>
      </c>
    </row>
    <row r="515" spans="1:12" x14ac:dyDescent="0.2">
      <c r="A515" s="2">
        <v>9</v>
      </c>
      <c r="B515" s="2">
        <v>512</v>
      </c>
      <c r="C515" s="2">
        <v>512</v>
      </c>
      <c r="D515" s="2">
        <v>14</v>
      </c>
      <c r="E515" s="4" t="s">
        <v>12</v>
      </c>
      <c r="F515" s="4">
        <v>3.7976249999999998E-3</v>
      </c>
      <c r="G515" s="2">
        <v>17</v>
      </c>
      <c r="H515" s="1" t="s">
        <v>12</v>
      </c>
      <c r="I515" s="1" t="s">
        <v>12</v>
      </c>
      <c r="J515" s="3">
        <v>11.572660917</v>
      </c>
      <c r="K515" s="3">
        <v>1.174E-2</v>
      </c>
      <c r="L515" s="3" t="s">
        <v>12</v>
      </c>
    </row>
    <row r="516" spans="1:12" x14ac:dyDescent="0.2">
      <c r="A516" s="2">
        <v>9</v>
      </c>
      <c r="B516" s="2">
        <v>512</v>
      </c>
      <c r="C516" s="2">
        <v>512</v>
      </c>
      <c r="D516" s="2">
        <v>15</v>
      </c>
      <c r="E516" s="4" t="s">
        <v>12</v>
      </c>
      <c r="F516" s="4">
        <v>4.1443749999999996E-3</v>
      </c>
      <c r="G516" s="2">
        <v>17</v>
      </c>
      <c r="H516" s="1" t="s">
        <v>12</v>
      </c>
      <c r="I516" s="1" t="s">
        <v>12</v>
      </c>
      <c r="J516" s="3">
        <v>11.572660917</v>
      </c>
      <c r="K516" s="3">
        <v>1.174E-2</v>
      </c>
      <c r="L516" s="3" t="s">
        <v>12</v>
      </c>
    </row>
    <row r="517" spans="1:12" x14ac:dyDescent="0.2">
      <c r="A517" s="2">
        <v>9</v>
      </c>
      <c r="B517" s="2">
        <v>512</v>
      </c>
      <c r="C517" s="2">
        <v>512</v>
      </c>
      <c r="D517" s="2">
        <v>16</v>
      </c>
      <c r="E517" s="4" t="s">
        <v>12</v>
      </c>
      <c r="F517" s="4">
        <v>3.6942500000000001E-3</v>
      </c>
      <c r="G517" s="2">
        <v>17</v>
      </c>
      <c r="H517" s="1" t="s">
        <v>12</v>
      </c>
      <c r="I517" s="1" t="s">
        <v>12</v>
      </c>
      <c r="J517" s="3">
        <v>11.572660917</v>
      </c>
      <c r="K517" s="3">
        <v>1.174E-2</v>
      </c>
      <c r="L517" s="3" t="s">
        <v>12</v>
      </c>
    </row>
    <row r="518" spans="1:12" x14ac:dyDescent="0.2">
      <c r="A518" s="2">
        <v>9</v>
      </c>
      <c r="B518" s="2">
        <v>512</v>
      </c>
      <c r="C518" s="2">
        <v>512</v>
      </c>
      <c r="D518" s="2">
        <v>17</v>
      </c>
      <c r="E518" s="4" t="s">
        <v>12</v>
      </c>
      <c r="F518" s="4">
        <v>4.5137500000000004E-3</v>
      </c>
      <c r="G518" s="2">
        <v>17</v>
      </c>
      <c r="H518" s="1" t="s">
        <v>12</v>
      </c>
      <c r="I518" s="1" t="s">
        <v>12</v>
      </c>
      <c r="J518" s="3">
        <v>11.572660917</v>
      </c>
      <c r="K518" s="3">
        <v>1.174E-2</v>
      </c>
      <c r="L518" s="3" t="s">
        <v>12</v>
      </c>
    </row>
    <row r="519" spans="1:12" x14ac:dyDescent="0.2">
      <c r="A519" s="2">
        <v>9</v>
      </c>
      <c r="B519" s="2">
        <v>512</v>
      </c>
      <c r="C519" s="2">
        <v>512</v>
      </c>
      <c r="D519" s="2">
        <v>18</v>
      </c>
      <c r="E519" s="4" t="s">
        <v>12</v>
      </c>
      <c r="F519" s="4">
        <v>3.5543329999999998E-3</v>
      </c>
      <c r="G519" s="2">
        <v>17</v>
      </c>
      <c r="H519" s="1" t="s">
        <v>12</v>
      </c>
      <c r="I519" s="1" t="s">
        <v>12</v>
      </c>
      <c r="J519" s="3">
        <v>11.572660917</v>
      </c>
      <c r="K519" s="3">
        <v>1.174E-2</v>
      </c>
      <c r="L519" s="3" t="s">
        <v>12</v>
      </c>
    </row>
    <row r="520" spans="1:12" x14ac:dyDescent="0.2">
      <c r="A520" s="2">
        <v>9</v>
      </c>
      <c r="B520" s="2">
        <v>512</v>
      </c>
      <c r="C520" s="2">
        <v>512</v>
      </c>
      <c r="D520" s="2">
        <v>19</v>
      </c>
      <c r="E520" s="4" t="s">
        <v>12</v>
      </c>
      <c r="F520" s="4">
        <v>3.9851670000000004E-3</v>
      </c>
      <c r="G520" s="2">
        <v>16</v>
      </c>
      <c r="H520" s="1" t="s">
        <v>12</v>
      </c>
      <c r="I520" s="1" t="s">
        <v>12</v>
      </c>
      <c r="J520" s="3">
        <v>11.572660917</v>
      </c>
      <c r="K520" s="3">
        <v>1.174E-2</v>
      </c>
      <c r="L520" s="3" t="s">
        <v>12</v>
      </c>
    </row>
    <row r="521" spans="1:12" x14ac:dyDescent="0.2">
      <c r="A521" s="2">
        <v>9</v>
      </c>
      <c r="B521" s="2">
        <v>512</v>
      </c>
      <c r="C521" s="2">
        <v>512</v>
      </c>
      <c r="D521" s="2">
        <v>20</v>
      </c>
      <c r="E521" s="4" t="s">
        <v>12</v>
      </c>
      <c r="F521" s="4">
        <v>3.417167E-3</v>
      </c>
      <c r="G521" s="2">
        <v>15</v>
      </c>
      <c r="H521" s="1" t="s">
        <v>12</v>
      </c>
      <c r="I521" s="1" t="s">
        <v>12</v>
      </c>
      <c r="J521" s="3">
        <v>11.572660917</v>
      </c>
      <c r="K521" s="3">
        <v>1.174E-2</v>
      </c>
      <c r="L521" s="3" t="s">
        <v>12</v>
      </c>
    </row>
    <row r="522" spans="1:12" x14ac:dyDescent="0.2">
      <c r="A522" s="2">
        <v>9</v>
      </c>
      <c r="B522" s="2">
        <v>512</v>
      </c>
      <c r="C522" s="2">
        <v>512</v>
      </c>
      <c r="D522" s="2">
        <v>21</v>
      </c>
      <c r="E522" s="4" t="s">
        <v>12</v>
      </c>
      <c r="F522" s="4">
        <v>4.15775E-3</v>
      </c>
      <c r="G522" s="2">
        <v>15</v>
      </c>
      <c r="H522" s="1" t="s">
        <v>12</v>
      </c>
      <c r="I522" s="1" t="s">
        <v>12</v>
      </c>
      <c r="J522" s="3">
        <v>11.572660917</v>
      </c>
      <c r="K522" s="3">
        <v>1.174E-2</v>
      </c>
      <c r="L522" s="3" t="s">
        <v>12</v>
      </c>
    </row>
    <row r="523" spans="1:12" x14ac:dyDescent="0.2">
      <c r="A523" s="2">
        <v>9</v>
      </c>
      <c r="B523" s="2">
        <v>512</v>
      </c>
      <c r="C523" s="2">
        <v>512</v>
      </c>
      <c r="D523" s="2">
        <v>22</v>
      </c>
      <c r="E523" s="4" t="s">
        <v>12</v>
      </c>
      <c r="F523" s="4">
        <v>3.468208E-3</v>
      </c>
      <c r="G523" s="2">
        <v>15</v>
      </c>
      <c r="H523" s="1" t="s">
        <v>12</v>
      </c>
      <c r="I523" s="1" t="s">
        <v>12</v>
      </c>
      <c r="J523" s="3">
        <v>11.572660917</v>
      </c>
      <c r="K523" s="3">
        <v>1.174E-2</v>
      </c>
      <c r="L523" s="3" t="s">
        <v>12</v>
      </c>
    </row>
    <row r="524" spans="1:12" x14ac:dyDescent="0.2">
      <c r="A524" s="2">
        <v>9</v>
      </c>
      <c r="B524" s="2">
        <v>512</v>
      </c>
      <c r="C524" s="2">
        <v>512</v>
      </c>
      <c r="D524" s="2">
        <v>23</v>
      </c>
      <c r="E524" s="4" t="s">
        <v>12</v>
      </c>
      <c r="F524" s="4">
        <v>3.6299169999999999E-3</v>
      </c>
      <c r="G524" s="2">
        <v>15</v>
      </c>
      <c r="H524" s="1" t="s">
        <v>12</v>
      </c>
      <c r="I524" s="1" t="s">
        <v>12</v>
      </c>
      <c r="J524" s="3">
        <v>11.572660917</v>
      </c>
      <c r="K524" s="3">
        <v>1.174E-2</v>
      </c>
      <c r="L524" s="3" t="s">
        <v>12</v>
      </c>
    </row>
    <row r="525" spans="1:12" x14ac:dyDescent="0.2">
      <c r="A525" s="2">
        <v>9</v>
      </c>
      <c r="B525" s="2">
        <v>512</v>
      </c>
      <c r="C525" s="2">
        <v>512</v>
      </c>
      <c r="D525" s="2">
        <v>24</v>
      </c>
      <c r="E525" s="4" t="s">
        <v>12</v>
      </c>
      <c r="F525" s="4">
        <v>3.2554160000000001E-3</v>
      </c>
      <c r="G525" s="2">
        <v>15</v>
      </c>
      <c r="H525" s="1" t="s">
        <v>12</v>
      </c>
      <c r="I525" s="1" t="s">
        <v>12</v>
      </c>
      <c r="J525" s="3">
        <v>11.572660917</v>
      </c>
      <c r="K525" s="3">
        <v>1.174E-2</v>
      </c>
      <c r="L525" s="3" t="s">
        <v>12</v>
      </c>
    </row>
    <row r="526" spans="1:12" x14ac:dyDescent="0.2">
      <c r="A526" s="2">
        <v>9</v>
      </c>
      <c r="B526" s="2">
        <v>512</v>
      </c>
      <c r="C526" s="2">
        <v>512</v>
      </c>
      <c r="D526" s="2">
        <v>25</v>
      </c>
      <c r="E526" s="4" t="s">
        <v>12</v>
      </c>
      <c r="F526" s="4">
        <v>3.781375E-3</v>
      </c>
      <c r="G526" s="2">
        <v>15</v>
      </c>
      <c r="H526" s="1" t="s">
        <v>12</v>
      </c>
      <c r="I526" s="1" t="s">
        <v>12</v>
      </c>
      <c r="J526" s="3">
        <v>11.572660917</v>
      </c>
      <c r="K526" s="3">
        <v>1.174E-2</v>
      </c>
      <c r="L526" s="3" t="s">
        <v>12</v>
      </c>
    </row>
    <row r="527" spans="1:12" x14ac:dyDescent="0.2">
      <c r="A527" s="2">
        <v>9</v>
      </c>
      <c r="B527" s="2">
        <v>512</v>
      </c>
      <c r="C527" s="2">
        <v>512</v>
      </c>
      <c r="D527" s="2">
        <v>26</v>
      </c>
      <c r="E527" s="4" t="s">
        <v>12</v>
      </c>
      <c r="F527" s="4">
        <v>3.8397919999999999E-3</v>
      </c>
      <c r="G527" s="2">
        <v>15</v>
      </c>
      <c r="H527" s="1" t="s">
        <v>12</v>
      </c>
      <c r="I527" s="1" t="s">
        <v>12</v>
      </c>
      <c r="J527" s="3">
        <v>11.572660917</v>
      </c>
      <c r="K527" s="3">
        <v>1.174E-2</v>
      </c>
      <c r="L527" s="3" t="s">
        <v>12</v>
      </c>
    </row>
    <row r="528" spans="1:12" x14ac:dyDescent="0.2">
      <c r="A528" s="2">
        <v>9</v>
      </c>
      <c r="B528" s="2">
        <v>512</v>
      </c>
      <c r="C528" s="2">
        <v>512</v>
      </c>
      <c r="D528" s="2">
        <v>27</v>
      </c>
      <c r="E528" s="4" t="s">
        <v>12</v>
      </c>
      <c r="F528" s="4">
        <v>3.8288749999999998E-3</v>
      </c>
      <c r="G528" s="2">
        <v>15</v>
      </c>
      <c r="H528" s="1" t="s">
        <v>12</v>
      </c>
      <c r="I528" s="1" t="s">
        <v>12</v>
      </c>
      <c r="J528" s="3">
        <v>11.572660917</v>
      </c>
      <c r="K528" s="3">
        <v>1.174E-2</v>
      </c>
      <c r="L528" s="3" t="s">
        <v>12</v>
      </c>
    </row>
    <row r="529" spans="1:12" x14ac:dyDescent="0.2">
      <c r="A529" s="2">
        <v>9</v>
      </c>
      <c r="B529" s="2">
        <v>512</v>
      </c>
      <c r="C529" s="2">
        <v>512</v>
      </c>
      <c r="D529" s="2">
        <v>28</v>
      </c>
      <c r="E529" s="4" t="s">
        <v>12</v>
      </c>
      <c r="F529" s="4">
        <v>3.3813340000000002E-3</v>
      </c>
      <c r="G529" s="2">
        <v>15</v>
      </c>
      <c r="H529" s="1" t="s">
        <v>12</v>
      </c>
      <c r="I529" s="1" t="s">
        <v>12</v>
      </c>
      <c r="J529" s="3">
        <v>11.572660917</v>
      </c>
      <c r="K529" s="3">
        <v>1.174E-2</v>
      </c>
      <c r="L529" s="3" t="s">
        <v>12</v>
      </c>
    </row>
    <row r="530" spans="1:12" x14ac:dyDescent="0.2">
      <c r="A530" s="2">
        <v>9</v>
      </c>
      <c r="B530" s="2">
        <v>512</v>
      </c>
      <c r="C530" s="2">
        <v>512</v>
      </c>
      <c r="D530" s="2">
        <v>29</v>
      </c>
      <c r="E530" s="4" t="s">
        <v>12</v>
      </c>
      <c r="F530" s="4">
        <v>1.0422625E-2</v>
      </c>
      <c r="G530" s="2">
        <v>15</v>
      </c>
      <c r="H530" s="1" t="s">
        <v>12</v>
      </c>
      <c r="I530" s="1" t="s">
        <v>12</v>
      </c>
      <c r="J530" s="3">
        <v>11.572660917</v>
      </c>
      <c r="K530" s="3">
        <v>1.174E-2</v>
      </c>
      <c r="L530" s="3" t="s">
        <v>12</v>
      </c>
    </row>
    <row r="531" spans="1:12" x14ac:dyDescent="0.2">
      <c r="A531" s="2">
        <v>9</v>
      </c>
      <c r="B531" s="2">
        <v>512</v>
      </c>
      <c r="C531" s="2">
        <v>512</v>
      </c>
      <c r="D531" s="2">
        <v>30</v>
      </c>
      <c r="E531" s="4" t="s">
        <v>12</v>
      </c>
      <c r="F531" s="4">
        <v>3.538125E-3</v>
      </c>
      <c r="G531" s="2">
        <v>15</v>
      </c>
      <c r="H531" s="1" t="s">
        <v>12</v>
      </c>
      <c r="I531" s="1" t="s">
        <v>12</v>
      </c>
      <c r="J531" s="3">
        <v>11.572660917</v>
      </c>
      <c r="K531" s="3">
        <v>1.174E-2</v>
      </c>
      <c r="L531" s="3" t="s">
        <v>12</v>
      </c>
    </row>
    <row r="532" spans="1:12" x14ac:dyDescent="0.2">
      <c r="A532" s="2">
        <v>9</v>
      </c>
      <c r="B532" s="2">
        <v>512</v>
      </c>
      <c r="C532" s="2">
        <v>512</v>
      </c>
      <c r="D532" s="2">
        <v>31</v>
      </c>
      <c r="E532" s="4" t="s">
        <v>12</v>
      </c>
      <c r="F532" s="4">
        <v>3.5282920000000001E-3</v>
      </c>
      <c r="G532" s="2">
        <v>15</v>
      </c>
      <c r="H532" s="1" t="s">
        <v>12</v>
      </c>
      <c r="I532" s="1" t="s">
        <v>12</v>
      </c>
      <c r="J532" s="3">
        <v>11.572660917</v>
      </c>
      <c r="K532" s="3">
        <v>1.174E-2</v>
      </c>
      <c r="L532" s="3" t="s">
        <v>12</v>
      </c>
    </row>
    <row r="533" spans="1:12" x14ac:dyDescent="0.2">
      <c r="A533" s="2">
        <v>9</v>
      </c>
      <c r="B533" s="2">
        <v>512</v>
      </c>
      <c r="C533" s="2">
        <v>512</v>
      </c>
      <c r="D533" s="2">
        <v>32</v>
      </c>
      <c r="E533" s="4" t="s">
        <v>12</v>
      </c>
      <c r="F533" s="4">
        <v>3.1782920000000001E-3</v>
      </c>
      <c r="G533" s="2">
        <v>15</v>
      </c>
      <c r="H533" s="1" t="s">
        <v>12</v>
      </c>
      <c r="I533" s="1" t="s">
        <v>12</v>
      </c>
      <c r="J533" s="3">
        <v>11.572660917</v>
      </c>
      <c r="K533" s="3">
        <v>1.174E-2</v>
      </c>
      <c r="L533" s="3" t="s">
        <v>12</v>
      </c>
    </row>
    <row r="534" spans="1:12" x14ac:dyDescent="0.2">
      <c r="A534" s="2">
        <v>9</v>
      </c>
      <c r="B534" s="2">
        <v>512</v>
      </c>
      <c r="C534" s="2">
        <v>512</v>
      </c>
      <c r="D534" s="2">
        <v>33</v>
      </c>
      <c r="E534" s="4" t="s">
        <v>12</v>
      </c>
      <c r="F534" s="4">
        <v>3.6784589999999998E-3</v>
      </c>
      <c r="G534" s="2">
        <v>15</v>
      </c>
      <c r="H534" s="1" t="s">
        <v>12</v>
      </c>
      <c r="I534" s="1" t="s">
        <v>12</v>
      </c>
      <c r="J534" s="3">
        <v>11.572660917</v>
      </c>
      <c r="K534" s="3">
        <v>1.174E-2</v>
      </c>
      <c r="L534" s="3" t="s">
        <v>12</v>
      </c>
    </row>
    <row r="535" spans="1:12" x14ac:dyDescent="0.2">
      <c r="A535" s="2">
        <v>9</v>
      </c>
      <c r="B535" s="2">
        <v>512</v>
      </c>
      <c r="C535" s="2">
        <v>512</v>
      </c>
      <c r="D535" s="2">
        <v>34</v>
      </c>
      <c r="E535" s="4" t="s">
        <v>12</v>
      </c>
      <c r="F535" s="4">
        <v>3.3504580000000002E-3</v>
      </c>
      <c r="G535" s="2">
        <v>15</v>
      </c>
      <c r="H535" s="1" t="s">
        <v>12</v>
      </c>
      <c r="I535" s="1" t="s">
        <v>12</v>
      </c>
      <c r="J535" s="3">
        <v>11.572660917</v>
      </c>
      <c r="K535" s="3">
        <v>1.174E-2</v>
      </c>
      <c r="L535" s="3" t="s">
        <v>12</v>
      </c>
    </row>
    <row r="536" spans="1:12" x14ac:dyDescent="0.2">
      <c r="A536" s="2">
        <v>9</v>
      </c>
      <c r="B536" s="2">
        <v>512</v>
      </c>
      <c r="C536" s="2">
        <v>512</v>
      </c>
      <c r="D536" s="2">
        <v>35</v>
      </c>
      <c r="E536" s="4" t="s">
        <v>12</v>
      </c>
      <c r="F536" s="4">
        <v>3.6037920000000002E-3</v>
      </c>
      <c r="G536" s="2">
        <v>15</v>
      </c>
      <c r="H536" s="1" t="s">
        <v>12</v>
      </c>
      <c r="I536" s="1" t="s">
        <v>12</v>
      </c>
      <c r="J536" s="3">
        <v>11.572660917</v>
      </c>
      <c r="K536" s="3">
        <v>1.174E-2</v>
      </c>
      <c r="L536" s="3" t="s">
        <v>12</v>
      </c>
    </row>
    <row r="537" spans="1:12" x14ac:dyDescent="0.2">
      <c r="A537" s="2">
        <v>9</v>
      </c>
      <c r="B537" s="2">
        <v>512</v>
      </c>
      <c r="C537" s="2">
        <v>512</v>
      </c>
      <c r="D537" s="2">
        <v>36</v>
      </c>
      <c r="E537" s="4" t="s">
        <v>12</v>
      </c>
      <c r="F537" s="4">
        <v>3.349E-3</v>
      </c>
      <c r="G537" s="2">
        <v>15</v>
      </c>
      <c r="H537" s="1" t="s">
        <v>12</v>
      </c>
      <c r="I537" s="1" t="s">
        <v>12</v>
      </c>
      <c r="J537" s="3">
        <v>11.572660917</v>
      </c>
      <c r="K537" s="3">
        <v>1.174E-2</v>
      </c>
      <c r="L537" s="3" t="s">
        <v>12</v>
      </c>
    </row>
    <row r="538" spans="1:12" x14ac:dyDescent="0.2">
      <c r="A538" s="2">
        <v>9</v>
      </c>
      <c r="B538" s="2">
        <v>512</v>
      </c>
      <c r="C538" s="2">
        <v>512</v>
      </c>
      <c r="D538" s="2">
        <v>37</v>
      </c>
      <c r="E538" s="4" t="s">
        <v>12</v>
      </c>
      <c r="F538" s="4">
        <v>3.730667E-3</v>
      </c>
      <c r="G538" s="2">
        <v>15</v>
      </c>
      <c r="H538" s="1" t="s">
        <v>12</v>
      </c>
      <c r="I538" s="1" t="s">
        <v>12</v>
      </c>
      <c r="J538" s="3">
        <v>11.572660917</v>
      </c>
      <c r="K538" s="3">
        <v>1.174E-2</v>
      </c>
      <c r="L538" s="3" t="s">
        <v>12</v>
      </c>
    </row>
    <row r="539" spans="1:12" x14ac:dyDescent="0.2">
      <c r="A539" s="2">
        <v>9</v>
      </c>
      <c r="B539" s="2">
        <v>512</v>
      </c>
      <c r="C539" s="2">
        <v>512</v>
      </c>
      <c r="D539" s="2">
        <v>38</v>
      </c>
      <c r="E539" s="4" t="s">
        <v>12</v>
      </c>
      <c r="F539" s="4">
        <v>3.3372499999999999E-3</v>
      </c>
      <c r="G539" s="2">
        <v>15</v>
      </c>
      <c r="H539" s="1" t="s">
        <v>12</v>
      </c>
      <c r="I539" s="1" t="s">
        <v>12</v>
      </c>
      <c r="J539" s="3">
        <v>11.572660917</v>
      </c>
      <c r="K539" s="3">
        <v>1.174E-2</v>
      </c>
      <c r="L539" s="3" t="s">
        <v>12</v>
      </c>
    </row>
    <row r="540" spans="1:12" x14ac:dyDescent="0.2">
      <c r="A540" s="2">
        <v>9</v>
      </c>
      <c r="B540" s="2">
        <v>512</v>
      </c>
      <c r="C540" s="2">
        <v>512</v>
      </c>
      <c r="D540" s="2">
        <v>39</v>
      </c>
      <c r="E540" s="4" t="s">
        <v>12</v>
      </c>
      <c r="F540" s="4">
        <v>3.4085830000000002E-3</v>
      </c>
      <c r="G540" s="2">
        <v>15</v>
      </c>
      <c r="H540" s="1" t="s">
        <v>12</v>
      </c>
      <c r="I540" s="1" t="s">
        <v>12</v>
      </c>
      <c r="J540" s="3">
        <v>11.572660917</v>
      </c>
      <c r="K540" s="3">
        <v>1.174E-2</v>
      </c>
      <c r="L540" s="3" t="s">
        <v>12</v>
      </c>
    </row>
    <row r="541" spans="1:12" x14ac:dyDescent="0.2">
      <c r="A541" s="2">
        <v>9</v>
      </c>
      <c r="B541" s="2">
        <v>512</v>
      </c>
      <c r="C541" s="2">
        <v>512</v>
      </c>
      <c r="D541" s="2">
        <v>40</v>
      </c>
      <c r="E541" s="4" t="s">
        <v>12</v>
      </c>
      <c r="F541" s="4">
        <v>3.25275E-3</v>
      </c>
      <c r="G541" s="2">
        <v>15</v>
      </c>
      <c r="H541" s="1" t="s">
        <v>12</v>
      </c>
      <c r="I541" s="1" t="s">
        <v>12</v>
      </c>
      <c r="J541" s="3">
        <v>11.572660917</v>
      </c>
      <c r="K541" s="3">
        <v>1.174E-2</v>
      </c>
      <c r="L541" s="3" t="s">
        <v>12</v>
      </c>
    </row>
    <row r="542" spans="1:12" x14ac:dyDescent="0.2">
      <c r="A542" s="2">
        <v>9</v>
      </c>
      <c r="B542" s="2">
        <v>512</v>
      </c>
      <c r="C542" s="2">
        <v>512</v>
      </c>
      <c r="D542" s="2">
        <v>41</v>
      </c>
      <c r="E542" s="4" t="s">
        <v>12</v>
      </c>
      <c r="F542" s="4">
        <v>3.7229590000000001E-3</v>
      </c>
      <c r="G542" s="2">
        <v>15</v>
      </c>
      <c r="H542" s="1" t="s">
        <v>12</v>
      </c>
      <c r="I542" s="1" t="s">
        <v>12</v>
      </c>
      <c r="J542" s="3">
        <v>11.572660917</v>
      </c>
      <c r="K542" s="3">
        <v>1.174E-2</v>
      </c>
      <c r="L542" s="3" t="s">
        <v>12</v>
      </c>
    </row>
    <row r="543" spans="1:12" x14ac:dyDescent="0.2">
      <c r="A543" s="2">
        <v>9</v>
      </c>
      <c r="B543" s="2">
        <v>512</v>
      </c>
      <c r="C543" s="2">
        <v>512</v>
      </c>
      <c r="D543" s="2">
        <v>42</v>
      </c>
      <c r="E543" s="4" t="s">
        <v>12</v>
      </c>
      <c r="F543" s="4">
        <v>3.1578750000000001E-3</v>
      </c>
      <c r="G543" s="2">
        <v>15</v>
      </c>
      <c r="H543" s="1" t="s">
        <v>12</v>
      </c>
      <c r="I543" s="1" t="s">
        <v>12</v>
      </c>
      <c r="J543" s="3">
        <v>11.572660917</v>
      </c>
      <c r="K543" s="3">
        <v>1.174E-2</v>
      </c>
      <c r="L543" s="3" t="s">
        <v>12</v>
      </c>
    </row>
    <row r="544" spans="1:12" x14ac:dyDescent="0.2">
      <c r="A544" s="2">
        <v>9</v>
      </c>
      <c r="B544" s="2">
        <v>512</v>
      </c>
      <c r="C544" s="2">
        <v>512</v>
      </c>
      <c r="D544" s="2">
        <v>43</v>
      </c>
      <c r="E544" s="4" t="s">
        <v>12</v>
      </c>
      <c r="F544" s="4">
        <v>3.5378330000000002E-3</v>
      </c>
      <c r="G544" s="2">
        <v>15</v>
      </c>
      <c r="H544" s="1" t="s">
        <v>12</v>
      </c>
      <c r="I544" s="1" t="s">
        <v>12</v>
      </c>
      <c r="J544" s="3">
        <v>11.572660917</v>
      </c>
      <c r="K544" s="3">
        <v>1.174E-2</v>
      </c>
      <c r="L544" s="3" t="s">
        <v>12</v>
      </c>
    </row>
    <row r="545" spans="1:12" x14ac:dyDescent="0.2">
      <c r="A545" s="2">
        <v>9</v>
      </c>
      <c r="B545" s="2">
        <v>512</v>
      </c>
      <c r="C545" s="2">
        <v>512</v>
      </c>
      <c r="D545" s="2">
        <v>44</v>
      </c>
      <c r="E545" s="4" t="s">
        <v>12</v>
      </c>
      <c r="F545" s="4">
        <v>3.3207919999999999E-3</v>
      </c>
      <c r="G545" s="2">
        <v>15</v>
      </c>
      <c r="H545" s="1" t="s">
        <v>12</v>
      </c>
      <c r="I545" s="1" t="s">
        <v>12</v>
      </c>
      <c r="J545" s="3">
        <v>11.572660917</v>
      </c>
      <c r="K545" s="3">
        <v>1.174E-2</v>
      </c>
      <c r="L545" s="3" t="s">
        <v>12</v>
      </c>
    </row>
    <row r="546" spans="1:12" x14ac:dyDescent="0.2">
      <c r="A546" s="2">
        <v>9</v>
      </c>
      <c r="B546" s="2">
        <v>512</v>
      </c>
      <c r="C546" s="2">
        <v>512</v>
      </c>
      <c r="D546" s="2">
        <v>45</v>
      </c>
      <c r="E546" s="4" t="s">
        <v>12</v>
      </c>
      <c r="F546" s="4">
        <v>3.8085829999999999E-3</v>
      </c>
      <c r="G546" s="2">
        <v>15</v>
      </c>
      <c r="H546" s="1" t="s">
        <v>12</v>
      </c>
      <c r="I546" s="1" t="s">
        <v>12</v>
      </c>
      <c r="J546" s="3">
        <v>11.572660917</v>
      </c>
      <c r="K546" s="3">
        <v>1.174E-2</v>
      </c>
      <c r="L546" s="3" t="s">
        <v>12</v>
      </c>
    </row>
    <row r="547" spans="1:12" x14ac:dyDescent="0.2">
      <c r="A547" s="2">
        <v>9</v>
      </c>
      <c r="B547" s="2">
        <v>512</v>
      </c>
      <c r="C547" s="2">
        <v>512</v>
      </c>
      <c r="D547" s="2">
        <v>46</v>
      </c>
      <c r="E547" s="4" t="s">
        <v>12</v>
      </c>
      <c r="F547" s="4">
        <v>7.538042E-3</v>
      </c>
      <c r="G547" s="2">
        <v>14</v>
      </c>
      <c r="H547" s="1" t="s">
        <v>12</v>
      </c>
      <c r="I547" s="1" t="s">
        <v>12</v>
      </c>
      <c r="J547" s="3">
        <v>11.572660917</v>
      </c>
      <c r="K547" s="3">
        <v>1.174E-2</v>
      </c>
      <c r="L547" s="3" t="s">
        <v>12</v>
      </c>
    </row>
    <row r="548" spans="1:12" x14ac:dyDescent="0.2">
      <c r="A548" s="2">
        <v>9</v>
      </c>
      <c r="B548" s="2">
        <v>512</v>
      </c>
      <c r="C548" s="2">
        <v>512</v>
      </c>
      <c r="D548" s="2">
        <v>47</v>
      </c>
      <c r="E548" s="4" t="s">
        <v>12</v>
      </c>
      <c r="F548" s="4">
        <v>3.2817079999999999E-3</v>
      </c>
      <c r="G548" s="2">
        <v>14</v>
      </c>
      <c r="H548" s="1" t="s">
        <v>12</v>
      </c>
      <c r="I548" s="1" t="s">
        <v>12</v>
      </c>
      <c r="J548" s="3">
        <v>11.572660917</v>
      </c>
      <c r="K548" s="3">
        <v>1.174E-2</v>
      </c>
      <c r="L548" s="3" t="s">
        <v>12</v>
      </c>
    </row>
    <row r="549" spans="1:12" x14ac:dyDescent="0.2">
      <c r="A549" s="2">
        <v>9</v>
      </c>
      <c r="B549" s="2">
        <v>512</v>
      </c>
      <c r="C549" s="2">
        <v>512</v>
      </c>
      <c r="D549" s="2">
        <v>48</v>
      </c>
      <c r="E549" s="4" t="s">
        <v>12</v>
      </c>
      <c r="F549" s="4">
        <v>3.5010420000000002E-3</v>
      </c>
      <c r="G549" s="2">
        <v>14</v>
      </c>
      <c r="H549" s="1" t="s">
        <v>12</v>
      </c>
      <c r="I549" s="1" t="s">
        <v>12</v>
      </c>
      <c r="J549" s="3">
        <v>11.572660917</v>
      </c>
      <c r="K549" s="3">
        <v>1.174E-2</v>
      </c>
      <c r="L549" s="3" t="s">
        <v>12</v>
      </c>
    </row>
    <row r="550" spans="1:12" x14ac:dyDescent="0.2">
      <c r="A550" s="2">
        <v>9</v>
      </c>
      <c r="B550" s="2">
        <v>512</v>
      </c>
      <c r="C550" s="2">
        <v>512</v>
      </c>
      <c r="D550" s="2">
        <v>49</v>
      </c>
      <c r="E550" s="4" t="s">
        <v>12</v>
      </c>
      <c r="F550" s="4">
        <v>2.9514580000000001E-3</v>
      </c>
      <c r="G550" s="2">
        <v>14</v>
      </c>
      <c r="H550" s="1" t="s">
        <v>12</v>
      </c>
      <c r="I550" s="1" t="s">
        <v>12</v>
      </c>
      <c r="J550" s="3">
        <v>11.572660917</v>
      </c>
      <c r="K550" s="3">
        <v>1.174E-2</v>
      </c>
      <c r="L550" s="3" t="s">
        <v>12</v>
      </c>
    </row>
    <row r="551" spans="1:12" x14ac:dyDescent="0.2">
      <c r="A551" s="2">
        <v>9</v>
      </c>
      <c r="B551" s="2">
        <v>512</v>
      </c>
      <c r="C551" s="2">
        <v>512</v>
      </c>
      <c r="D551" s="2">
        <v>50</v>
      </c>
      <c r="E551" s="4" t="s">
        <v>12</v>
      </c>
      <c r="F551" s="4">
        <v>3.1960000000000001E-3</v>
      </c>
      <c r="G551" s="2">
        <v>14</v>
      </c>
      <c r="H551" s="1" t="s">
        <v>12</v>
      </c>
      <c r="I551" s="1" t="s">
        <v>12</v>
      </c>
      <c r="J551" s="3">
        <v>11.572660917</v>
      </c>
      <c r="K551" s="3">
        <v>1.174E-2</v>
      </c>
      <c r="L551" s="3" t="s">
        <v>12</v>
      </c>
    </row>
    <row r="552" spans="1:12" x14ac:dyDescent="0.2">
      <c r="A552" s="2">
        <v>9</v>
      </c>
      <c r="B552" s="2">
        <v>512</v>
      </c>
      <c r="C552" s="2">
        <v>512</v>
      </c>
      <c r="D552" s="2">
        <v>51</v>
      </c>
      <c r="E552" s="4" t="s">
        <v>12</v>
      </c>
      <c r="F552" s="4">
        <v>3.1384170000000001E-3</v>
      </c>
      <c r="G552" s="2">
        <v>14</v>
      </c>
      <c r="H552" s="1" t="s">
        <v>12</v>
      </c>
      <c r="I552" s="1" t="s">
        <v>12</v>
      </c>
      <c r="J552" s="3">
        <v>11.572660917</v>
      </c>
      <c r="K552" s="3">
        <v>1.174E-2</v>
      </c>
      <c r="L552" s="3" t="s">
        <v>12</v>
      </c>
    </row>
    <row r="553" spans="1:12" x14ac:dyDescent="0.2">
      <c r="A553" s="2">
        <v>9</v>
      </c>
      <c r="B553" s="2">
        <v>512</v>
      </c>
      <c r="C553" s="2">
        <v>512</v>
      </c>
      <c r="D553" s="2">
        <v>52</v>
      </c>
      <c r="E553" s="4" t="s">
        <v>12</v>
      </c>
      <c r="F553" s="4">
        <v>3.2478749999999999E-3</v>
      </c>
      <c r="G553" s="2">
        <v>14</v>
      </c>
      <c r="H553" s="1" t="s">
        <v>12</v>
      </c>
      <c r="I553" s="1" t="s">
        <v>12</v>
      </c>
      <c r="J553" s="3">
        <v>11.572660917</v>
      </c>
      <c r="K553" s="3">
        <v>1.174E-2</v>
      </c>
      <c r="L553" s="3" t="s">
        <v>12</v>
      </c>
    </row>
    <row r="554" spans="1:12" x14ac:dyDescent="0.2">
      <c r="A554" s="2">
        <v>9</v>
      </c>
      <c r="B554" s="2">
        <v>512</v>
      </c>
      <c r="C554" s="2">
        <v>512</v>
      </c>
      <c r="D554" s="2">
        <v>53</v>
      </c>
      <c r="E554" s="4" t="s">
        <v>12</v>
      </c>
      <c r="F554" s="4">
        <v>3.0926249999999999E-3</v>
      </c>
      <c r="G554" s="2">
        <v>14</v>
      </c>
      <c r="H554" s="1" t="s">
        <v>12</v>
      </c>
      <c r="I554" s="1" t="s">
        <v>12</v>
      </c>
      <c r="J554" s="3">
        <v>11.572660917</v>
      </c>
      <c r="K554" s="3">
        <v>1.174E-2</v>
      </c>
      <c r="L554" s="3" t="s">
        <v>12</v>
      </c>
    </row>
    <row r="555" spans="1:12" x14ac:dyDescent="0.2">
      <c r="A555" s="2">
        <v>9</v>
      </c>
      <c r="B555" s="2">
        <v>512</v>
      </c>
      <c r="C555" s="2">
        <v>512</v>
      </c>
      <c r="D555" s="2">
        <v>54</v>
      </c>
      <c r="E555" s="4" t="s">
        <v>12</v>
      </c>
      <c r="F555" s="4">
        <v>3.1136250000000001E-3</v>
      </c>
      <c r="G555" s="2">
        <v>14</v>
      </c>
      <c r="H555" s="1" t="s">
        <v>12</v>
      </c>
      <c r="I555" s="1" t="s">
        <v>12</v>
      </c>
      <c r="J555" s="3">
        <v>11.572660917</v>
      </c>
      <c r="K555" s="3">
        <v>1.174E-2</v>
      </c>
      <c r="L555" s="3" t="s">
        <v>12</v>
      </c>
    </row>
    <row r="556" spans="1:12" x14ac:dyDescent="0.2">
      <c r="A556" s="2">
        <v>9</v>
      </c>
      <c r="B556" s="2">
        <v>512</v>
      </c>
      <c r="C556" s="2">
        <v>512</v>
      </c>
      <c r="D556" s="2">
        <v>55</v>
      </c>
      <c r="E556" s="4" t="s">
        <v>12</v>
      </c>
      <c r="F556" s="4">
        <v>2.9906669999999998E-3</v>
      </c>
      <c r="G556" s="2">
        <v>14</v>
      </c>
      <c r="H556" s="1" t="s">
        <v>12</v>
      </c>
      <c r="I556" s="1" t="s">
        <v>12</v>
      </c>
      <c r="J556" s="3">
        <v>11.572660917</v>
      </c>
      <c r="K556" s="3">
        <v>1.174E-2</v>
      </c>
      <c r="L556" s="3" t="s">
        <v>12</v>
      </c>
    </row>
    <row r="557" spans="1:12" x14ac:dyDescent="0.2">
      <c r="A557" s="2">
        <v>9</v>
      </c>
      <c r="B557" s="2">
        <v>512</v>
      </c>
      <c r="C557" s="2">
        <v>512</v>
      </c>
      <c r="D557" s="2">
        <v>56</v>
      </c>
      <c r="E557" s="4" t="s">
        <v>12</v>
      </c>
      <c r="F557" s="4">
        <v>3.1329169999999998E-3</v>
      </c>
      <c r="G557" s="2">
        <v>14</v>
      </c>
      <c r="H557" s="1" t="s">
        <v>12</v>
      </c>
      <c r="I557" s="1" t="s">
        <v>12</v>
      </c>
      <c r="J557" s="3">
        <v>11.572660917</v>
      </c>
      <c r="K557" s="3">
        <v>1.174E-2</v>
      </c>
      <c r="L557" s="3" t="s">
        <v>12</v>
      </c>
    </row>
    <row r="558" spans="1:12" x14ac:dyDescent="0.2">
      <c r="A558" s="2">
        <v>9</v>
      </c>
      <c r="B558" s="2">
        <v>512</v>
      </c>
      <c r="C558" s="2">
        <v>512</v>
      </c>
      <c r="D558" s="2">
        <v>57</v>
      </c>
      <c r="E558" s="4" t="s">
        <v>12</v>
      </c>
      <c r="F558" s="4">
        <v>3.073583E-3</v>
      </c>
      <c r="G558" s="2">
        <v>14</v>
      </c>
      <c r="H558" s="1" t="s">
        <v>12</v>
      </c>
      <c r="I558" s="1" t="s">
        <v>12</v>
      </c>
      <c r="J558" s="3">
        <v>11.572660917</v>
      </c>
      <c r="K558" s="3">
        <v>1.174E-2</v>
      </c>
      <c r="L558" s="3" t="s">
        <v>12</v>
      </c>
    </row>
    <row r="559" spans="1:12" x14ac:dyDescent="0.2">
      <c r="A559" s="2">
        <v>9</v>
      </c>
      <c r="B559" s="2">
        <v>512</v>
      </c>
      <c r="C559" s="2">
        <v>512</v>
      </c>
      <c r="D559" s="2">
        <v>58</v>
      </c>
      <c r="E559" s="4" t="s">
        <v>12</v>
      </c>
      <c r="F559" s="4">
        <v>3.1746249999999999E-3</v>
      </c>
      <c r="G559" s="2">
        <v>14</v>
      </c>
      <c r="H559" s="1" t="s">
        <v>12</v>
      </c>
      <c r="I559" s="1" t="s">
        <v>12</v>
      </c>
      <c r="J559" s="3">
        <v>11.572660917</v>
      </c>
      <c r="K559" s="3">
        <v>1.174E-2</v>
      </c>
      <c r="L559" s="3" t="s">
        <v>12</v>
      </c>
    </row>
    <row r="560" spans="1:12" x14ac:dyDescent="0.2">
      <c r="A560" s="2">
        <v>9</v>
      </c>
      <c r="B560" s="2">
        <v>512</v>
      </c>
      <c r="C560" s="2">
        <v>512</v>
      </c>
      <c r="D560" s="2">
        <v>59</v>
      </c>
      <c r="E560" s="4" t="s">
        <v>12</v>
      </c>
      <c r="F560" s="4">
        <v>2.9866250000000001E-3</v>
      </c>
      <c r="G560" s="2">
        <v>14</v>
      </c>
      <c r="H560" s="1" t="s">
        <v>12</v>
      </c>
      <c r="I560" s="1" t="s">
        <v>12</v>
      </c>
      <c r="J560" s="3">
        <v>11.572660917</v>
      </c>
      <c r="K560" s="3">
        <v>1.174E-2</v>
      </c>
      <c r="L560" s="3" t="s">
        <v>12</v>
      </c>
    </row>
    <row r="561" spans="1:12" x14ac:dyDescent="0.2">
      <c r="A561" s="2">
        <v>9</v>
      </c>
      <c r="B561" s="2">
        <v>512</v>
      </c>
      <c r="C561" s="2">
        <v>512</v>
      </c>
      <c r="D561" s="2">
        <v>60</v>
      </c>
      <c r="E561" s="4" t="s">
        <v>12</v>
      </c>
      <c r="F561" s="4">
        <v>3.0007079999999999E-3</v>
      </c>
      <c r="G561" s="2">
        <v>14</v>
      </c>
      <c r="H561" s="1" t="s">
        <v>12</v>
      </c>
      <c r="I561" s="1" t="s">
        <v>12</v>
      </c>
      <c r="J561" s="3">
        <v>11.572660917</v>
      </c>
      <c r="K561" s="3">
        <v>1.174E-2</v>
      </c>
      <c r="L561" s="3" t="s">
        <v>12</v>
      </c>
    </row>
    <row r="562" spans="1:12" x14ac:dyDescent="0.2">
      <c r="A562" s="2">
        <v>9</v>
      </c>
      <c r="B562" s="2">
        <v>512</v>
      </c>
      <c r="C562" s="2">
        <v>512</v>
      </c>
      <c r="D562" s="2">
        <v>61</v>
      </c>
      <c r="E562" s="4" t="s">
        <v>12</v>
      </c>
      <c r="F562" s="4">
        <v>3.0061670000000001E-3</v>
      </c>
      <c r="G562" s="2">
        <v>14</v>
      </c>
      <c r="H562" s="1" t="s">
        <v>12</v>
      </c>
      <c r="I562" s="1" t="s">
        <v>12</v>
      </c>
      <c r="J562" s="3">
        <v>11.572660917</v>
      </c>
      <c r="K562" s="3">
        <v>1.174E-2</v>
      </c>
      <c r="L562" s="3" t="s">
        <v>12</v>
      </c>
    </row>
    <row r="563" spans="1:12" x14ac:dyDescent="0.2">
      <c r="A563" s="2">
        <v>9</v>
      </c>
      <c r="B563" s="2">
        <v>512</v>
      </c>
      <c r="C563" s="2">
        <v>512</v>
      </c>
      <c r="D563" s="2">
        <v>62</v>
      </c>
      <c r="E563" s="4" t="s">
        <v>12</v>
      </c>
      <c r="F563" s="4">
        <v>3.189917E-3</v>
      </c>
      <c r="G563" s="2">
        <v>14</v>
      </c>
      <c r="H563" s="1" t="s">
        <v>12</v>
      </c>
      <c r="I563" s="1" t="s">
        <v>12</v>
      </c>
      <c r="J563" s="3">
        <v>11.572660917</v>
      </c>
      <c r="K563" s="3">
        <v>1.174E-2</v>
      </c>
      <c r="L563" s="3" t="s">
        <v>12</v>
      </c>
    </row>
    <row r="564" spans="1:12" x14ac:dyDescent="0.2">
      <c r="A564" s="2">
        <v>9</v>
      </c>
      <c r="B564" s="2">
        <v>512</v>
      </c>
      <c r="C564" s="2">
        <v>512</v>
      </c>
      <c r="D564" s="2">
        <v>63</v>
      </c>
      <c r="E564" s="4" t="s">
        <v>12</v>
      </c>
      <c r="F564" s="4">
        <v>3.0466249999999999E-3</v>
      </c>
      <c r="G564" s="2">
        <v>14</v>
      </c>
      <c r="H564" s="1" t="s">
        <v>12</v>
      </c>
      <c r="I564" s="1" t="s">
        <v>12</v>
      </c>
      <c r="J564" s="3">
        <v>11.572660917</v>
      </c>
      <c r="K564" s="3">
        <v>1.174E-2</v>
      </c>
      <c r="L564" s="3" t="s">
        <v>12</v>
      </c>
    </row>
    <row r="565" spans="1:12" x14ac:dyDescent="0.2">
      <c r="A565" s="2">
        <v>9</v>
      </c>
      <c r="B565" s="2">
        <v>512</v>
      </c>
      <c r="C565" s="2">
        <v>512</v>
      </c>
      <c r="D565" s="2">
        <v>64</v>
      </c>
      <c r="E565" s="4" t="s">
        <v>12</v>
      </c>
      <c r="F565" s="4">
        <v>7.0732920000000001E-3</v>
      </c>
      <c r="G565" s="2">
        <v>14</v>
      </c>
      <c r="H565" s="1" t="s">
        <v>12</v>
      </c>
      <c r="I565" s="1" t="s">
        <v>12</v>
      </c>
      <c r="J565" s="3">
        <v>11.572660917</v>
      </c>
      <c r="K565" s="3">
        <v>1.174E-2</v>
      </c>
      <c r="L565" s="3" t="s">
        <v>12</v>
      </c>
    </row>
    <row r="566" spans="1:12" x14ac:dyDescent="0.2">
      <c r="A566" s="2">
        <v>9</v>
      </c>
      <c r="B566" s="2">
        <v>512</v>
      </c>
      <c r="C566" s="2">
        <v>512</v>
      </c>
      <c r="D566" s="2">
        <v>65</v>
      </c>
      <c r="E566" s="4" t="s">
        <v>12</v>
      </c>
      <c r="F566" s="4">
        <v>3.0236249999999998E-3</v>
      </c>
      <c r="G566" s="2">
        <v>14</v>
      </c>
      <c r="H566" s="1" t="s">
        <v>12</v>
      </c>
      <c r="I566" s="1" t="s">
        <v>12</v>
      </c>
      <c r="J566" s="3">
        <v>11.572660917</v>
      </c>
      <c r="K566" s="3">
        <v>1.174E-2</v>
      </c>
      <c r="L566" s="3" t="s">
        <v>12</v>
      </c>
    </row>
    <row r="567" spans="1:12" x14ac:dyDescent="0.2">
      <c r="A567" s="2">
        <v>9</v>
      </c>
      <c r="B567" s="2">
        <v>512</v>
      </c>
      <c r="C567" s="2">
        <v>512</v>
      </c>
      <c r="D567" s="2">
        <v>66</v>
      </c>
      <c r="E567" s="4" t="s">
        <v>12</v>
      </c>
      <c r="F567" s="4">
        <v>3.1619999999999999E-3</v>
      </c>
      <c r="G567" s="2">
        <v>14</v>
      </c>
      <c r="H567" s="1" t="s">
        <v>12</v>
      </c>
      <c r="I567" s="1" t="s">
        <v>12</v>
      </c>
      <c r="J567" s="3">
        <v>11.572660917</v>
      </c>
      <c r="K567" s="3">
        <v>1.174E-2</v>
      </c>
      <c r="L567" s="3" t="s">
        <v>12</v>
      </c>
    </row>
    <row r="568" spans="1:12" x14ac:dyDescent="0.2">
      <c r="A568" s="2">
        <v>9</v>
      </c>
      <c r="B568" s="2">
        <v>512</v>
      </c>
      <c r="C568" s="2">
        <v>512</v>
      </c>
      <c r="D568" s="2">
        <v>67</v>
      </c>
      <c r="E568" s="4" t="s">
        <v>12</v>
      </c>
      <c r="F568" s="4">
        <v>3.2740410000000001E-3</v>
      </c>
      <c r="G568" s="2">
        <v>14</v>
      </c>
      <c r="H568" s="1" t="s">
        <v>12</v>
      </c>
      <c r="I568" s="1" t="s">
        <v>12</v>
      </c>
      <c r="J568" s="3">
        <v>11.572660917</v>
      </c>
      <c r="K568" s="3">
        <v>1.174E-2</v>
      </c>
      <c r="L568" s="3" t="s">
        <v>12</v>
      </c>
    </row>
    <row r="569" spans="1:12" x14ac:dyDescent="0.2">
      <c r="A569" s="2">
        <v>9</v>
      </c>
      <c r="B569" s="2">
        <v>512</v>
      </c>
      <c r="C569" s="2">
        <v>512</v>
      </c>
      <c r="D569" s="2">
        <v>68</v>
      </c>
      <c r="E569" s="4" t="s">
        <v>12</v>
      </c>
      <c r="F569" s="4">
        <v>3.5049159999999998E-3</v>
      </c>
      <c r="G569" s="2">
        <v>14</v>
      </c>
      <c r="H569" s="1" t="s">
        <v>12</v>
      </c>
      <c r="I569" s="1" t="s">
        <v>12</v>
      </c>
      <c r="J569" s="3">
        <v>11.572660917</v>
      </c>
      <c r="K569" s="3">
        <v>1.174E-2</v>
      </c>
      <c r="L569" s="3" t="s">
        <v>12</v>
      </c>
    </row>
    <row r="570" spans="1:12" x14ac:dyDescent="0.2">
      <c r="A570" s="2">
        <v>9</v>
      </c>
      <c r="B570" s="2">
        <v>512</v>
      </c>
      <c r="C570" s="2">
        <v>512</v>
      </c>
      <c r="D570" s="2">
        <v>69</v>
      </c>
      <c r="E570" s="4" t="s">
        <v>12</v>
      </c>
      <c r="F570" s="4">
        <v>2.9238329999999998E-3</v>
      </c>
      <c r="G570" s="2">
        <v>14</v>
      </c>
      <c r="H570" s="1" t="s">
        <v>12</v>
      </c>
      <c r="I570" s="1" t="s">
        <v>12</v>
      </c>
      <c r="J570" s="3">
        <v>11.572660917</v>
      </c>
      <c r="K570" s="3">
        <v>1.174E-2</v>
      </c>
      <c r="L570" s="3" t="s">
        <v>12</v>
      </c>
    </row>
    <row r="571" spans="1:12" x14ac:dyDescent="0.2">
      <c r="A571" s="2">
        <v>9</v>
      </c>
      <c r="B571" s="2">
        <v>512</v>
      </c>
      <c r="C571" s="2">
        <v>512</v>
      </c>
      <c r="D571" s="2">
        <v>70</v>
      </c>
      <c r="E571" s="4" t="s">
        <v>12</v>
      </c>
      <c r="F571" s="4">
        <v>3.3981250000000001E-3</v>
      </c>
      <c r="G571" s="2">
        <v>14</v>
      </c>
      <c r="H571" s="1" t="s">
        <v>12</v>
      </c>
      <c r="I571" s="1" t="s">
        <v>12</v>
      </c>
      <c r="J571" s="3">
        <v>11.572660917</v>
      </c>
      <c r="K571" s="3">
        <v>1.174E-2</v>
      </c>
      <c r="L571" s="3" t="s">
        <v>12</v>
      </c>
    </row>
    <row r="572" spans="1:12" x14ac:dyDescent="0.2">
      <c r="A572" s="2">
        <v>9</v>
      </c>
      <c r="B572" s="2">
        <v>512</v>
      </c>
      <c r="C572" s="2">
        <v>512</v>
      </c>
      <c r="D572" s="2">
        <v>71</v>
      </c>
      <c r="E572" s="4" t="s">
        <v>12</v>
      </c>
      <c r="F572" s="4">
        <v>3.037709E-3</v>
      </c>
      <c r="G572" s="2">
        <v>14</v>
      </c>
      <c r="H572" s="1" t="s">
        <v>12</v>
      </c>
      <c r="I572" s="1" t="s">
        <v>12</v>
      </c>
      <c r="J572" s="3">
        <v>11.572660917</v>
      </c>
      <c r="K572" s="3">
        <v>1.174E-2</v>
      </c>
      <c r="L572" s="3" t="s">
        <v>12</v>
      </c>
    </row>
    <row r="573" spans="1:12" x14ac:dyDescent="0.2">
      <c r="A573" s="2">
        <v>9</v>
      </c>
      <c r="B573" s="2">
        <v>512</v>
      </c>
      <c r="C573" s="2">
        <v>512</v>
      </c>
      <c r="D573" s="2">
        <v>72</v>
      </c>
      <c r="E573" s="4" t="s">
        <v>12</v>
      </c>
      <c r="F573" s="4">
        <v>3.4750419999999998E-3</v>
      </c>
      <c r="G573" s="2">
        <v>14</v>
      </c>
      <c r="H573" s="1" t="s">
        <v>12</v>
      </c>
      <c r="I573" s="1" t="s">
        <v>12</v>
      </c>
      <c r="J573" s="3">
        <v>11.572660917</v>
      </c>
      <c r="K573" s="3">
        <v>1.174E-2</v>
      </c>
      <c r="L573" s="3" t="s">
        <v>12</v>
      </c>
    </row>
    <row r="574" spans="1:12" x14ac:dyDescent="0.2">
      <c r="A574" s="2">
        <v>9</v>
      </c>
      <c r="B574" s="2">
        <v>512</v>
      </c>
      <c r="C574" s="2">
        <v>512</v>
      </c>
      <c r="D574" s="2">
        <v>73</v>
      </c>
      <c r="E574" s="4" t="s">
        <v>12</v>
      </c>
      <c r="F574" s="4">
        <v>3.5179159999999998E-3</v>
      </c>
      <c r="G574" s="2">
        <v>14</v>
      </c>
      <c r="H574" s="1" t="s">
        <v>12</v>
      </c>
      <c r="I574" s="1" t="s">
        <v>12</v>
      </c>
      <c r="J574" s="3">
        <v>11.572660917</v>
      </c>
      <c r="K574" s="3">
        <v>1.174E-2</v>
      </c>
      <c r="L574" s="3" t="s">
        <v>12</v>
      </c>
    </row>
    <row r="575" spans="1:12" x14ac:dyDescent="0.2">
      <c r="A575" s="2">
        <v>9</v>
      </c>
      <c r="B575" s="2">
        <v>512</v>
      </c>
      <c r="C575" s="2">
        <v>512</v>
      </c>
      <c r="D575" s="2">
        <v>74</v>
      </c>
      <c r="E575" s="4" t="s">
        <v>12</v>
      </c>
      <c r="F575" s="4">
        <v>3.553708E-3</v>
      </c>
      <c r="G575" s="2">
        <v>14</v>
      </c>
      <c r="H575" s="1" t="s">
        <v>12</v>
      </c>
      <c r="I575" s="1" t="s">
        <v>12</v>
      </c>
      <c r="J575" s="3">
        <v>11.572660917</v>
      </c>
      <c r="K575" s="3">
        <v>1.174E-2</v>
      </c>
      <c r="L575" s="3" t="s">
        <v>12</v>
      </c>
    </row>
    <row r="576" spans="1:12" x14ac:dyDescent="0.2">
      <c r="A576" s="2">
        <v>9</v>
      </c>
      <c r="B576" s="2">
        <v>512</v>
      </c>
      <c r="C576" s="2">
        <v>512</v>
      </c>
      <c r="D576" s="2">
        <v>75</v>
      </c>
      <c r="E576" s="4" t="s">
        <v>12</v>
      </c>
      <c r="F576" s="4">
        <v>3.2817499999999999E-3</v>
      </c>
      <c r="G576" s="2">
        <v>14</v>
      </c>
      <c r="H576" s="1" t="s">
        <v>12</v>
      </c>
      <c r="I576" s="1" t="s">
        <v>12</v>
      </c>
      <c r="J576" s="3">
        <v>11.572660917</v>
      </c>
      <c r="K576" s="3">
        <v>1.174E-2</v>
      </c>
      <c r="L576" s="3" t="s">
        <v>12</v>
      </c>
    </row>
    <row r="577" spans="1:12" x14ac:dyDescent="0.2">
      <c r="A577" s="2">
        <v>9</v>
      </c>
      <c r="B577" s="2">
        <v>512</v>
      </c>
      <c r="C577" s="2">
        <v>512</v>
      </c>
      <c r="D577" s="2">
        <v>76</v>
      </c>
      <c r="E577" s="4" t="s">
        <v>12</v>
      </c>
      <c r="F577" s="4">
        <v>3.227583E-3</v>
      </c>
      <c r="G577" s="2">
        <v>14</v>
      </c>
      <c r="H577" s="1" t="s">
        <v>12</v>
      </c>
      <c r="I577" s="1" t="s">
        <v>12</v>
      </c>
      <c r="J577" s="3">
        <v>11.572660917</v>
      </c>
      <c r="K577" s="3">
        <v>1.174E-2</v>
      </c>
      <c r="L577" s="3" t="s">
        <v>12</v>
      </c>
    </row>
    <row r="578" spans="1:12" x14ac:dyDescent="0.2">
      <c r="A578" s="2">
        <v>9</v>
      </c>
      <c r="B578" s="2">
        <v>512</v>
      </c>
      <c r="C578" s="2">
        <v>512</v>
      </c>
      <c r="D578" s="2">
        <v>77</v>
      </c>
      <c r="E578" s="4" t="s">
        <v>12</v>
      </c>
      <c r="F578" s="4">
        <v>2.8800420000000002E-3</v>
      </c>
      <c r="G578" s="2">
        <v>14</v>
      </c>
      <c r="H578" s="1" t="s">
        <v>12</v>
      </c>
      <c r="I578" s="1" t="s">
        <v>12</v>
      </c>
      <c r="J578" s="3">
        <v>11.572660917</v>
      </c>
      <c r="K578" s="3">
        <v>1.174E-2</v>
      </c>
      <c r="L578" s="3" t="s">
        <v>12</v>
      </c>
    </row>
    <row r="579" spans="1:12" x14ac:dyDescent="0.2">
      <c r="A579" s="2">
        <v>9</v>
      </c>
      <c r="B579" s="2">
        <v>512</v>
      </c>
      <c r="C579" s="2">
        <v>512</v>
      </c>
      <c r="D579" s="2">
        <v>78</v>
      </c>
      <c r="E579" s="4" t="s">
        <v>12</v>
      </c>
      <c r="F579" s="4">
        <v>3.1421660000000001E-3</v>
      </c>
      <c r="G579" s="2">
        <v>14</v>
      </c>
      <c r="H579" s="1" t="s">
        <v>12</v>
      </c>
      <c r="I579" s="1" t="s">
        <v>12</v>
      </c>
      <c r="J579" s="3">
        <v>11.572660917</v>
      </c>
      <c r="K579" s="3">
        <v>1.174E-2</v>
      </c>
      <c r="L579" s="3" t="s">
        <v>12</v>
      </c>
    </row>
    <row r="580" spans="1:12" x14ac:dyDescent="0.2">
      <c r="A580" s="2">
        <v>9</v>
      </c>
      <c r="B580" s="2">
        <v>512</v>
      </c>
      <c r="C580" s="2">
        <v>512</v>
      </c>
      <c r="D580" s="2">
        <v>79</v>
      </c>
      <c r="E580" s="4" t="s">
        <v>12</v>
      </c>
      <c r="F580" s="4">
        <v>2.970833E-3</v>
      </c>
      <c r="G580" s="2">
        <v>14</v>
      </c>
      <c r="H580" s="1" t="s">
        <v>12</v>
      </c>
      <c r="I580" s="1" t="s">
        <v>12</v>
      </c>
      <c r="J580" s="3">
        <v>11.572660917</v>
      </c>
      <c r="K580" s="3">
        <v>1.174E-2</v>
      </c>
      <c r="L580" s="3" t="s">
        <v>12</v>
      </c>
    </row>
    <row r="581" spans="1:12" x14ac:dyDescent="0.2">
      <c r="A581" s="2">
        <v>9</v>
      </c>
      <c r="B581" s="2">
        <v>512</v>
      </c>
      <c r="C581" s="2">
        <v>512</v>
      </c>
      <c r="D581" s="2">
        <v>80</v>
      </c>
      <c r="E581" s="4" t="s">
        <v>12</v>
      </c>
      <c r="F581" s="4">
        <v>3.401959E-3</v>
      </c>
      <c r="G581" s="2">
        <v>14</v>
      </c>
      <c r="H581" s="1" t="s">
        <v>12</v>
      </c>
      <c r="I581" s="1" t="s">
        <v>12</v>
      </c>
      <c r="J581" s="3">
        <v>11.572660917</v>
      </c>
      <c r="K581" s="3">
        <v>1.174E-2</v>
      </c>
      <c r="L581" s="3" t="s">
        <v>12</v>
      </c>
    </row>
    <row r="582" spans="1:12" x14ac:dyDescent="0.2">
      <c r="A582" s="2">
        <v>9</v>
      </c>
      <c r="B582" s="2">
        <v>512</v>
      </c>
      <c r="C582" s="2">
        <v>512</v>
      </c>
      <c r="D582" s="2">
        <v>81</v>
      </c>
      <c r="E582" s="4" t="s">
        <v>12</v>
      </c>
      <c r="F582" s="4">
        <v>2.9624170000000002E-3</v>
      </c>
      <c r="G582" s="2">
        <v>14</v>
      </c>
      <c r="H582" s="1" t="s">
        <v>12</v>
      </c>
      <c r="I582" s="1" t="s">
        <v>12</v>
      </c>
      <c r="J582" s="3">
        <v>11.572660917</v>
      </c>
      <c r="K582" s="3">
        <v>1.174E-2</v>
      </c>
      <c r="L582" s="3" t="s">
        <v>12</v>
      </c>
    </row>
    <row r="583" spans="1:12" x14ac:dyDescent="0.2">
      <c r="A583" s="2">
        <v>9</v>
      </c>
      <c r="B583" s="2">
        <v>512</v>
      </c>
      <c r="C583" s="2">
        <v>512</v>
      </c>
      <c r="D583" s="2">
        <v>82</v>
      </c>
      <c r="E583" s="4" t="s">
        <v>12</v>
      </c>
      <c r="F583" s="4">
        <v>3.2169999999999998E-3</v>
      </c>
      <c r="G583" s="2">
        <v>14</v>
      </c>
      <c r="H583" s="1" t="s">
        <v>12</v>
      </c>
      <c r="I583" s="1" t="s">
        <v>12</v>
      </c>
      <c r="J583" s="3">
        <v>11.572660917</v>
      </c>
      <c r="K583" s="3">
        <v>1.174E-2</v>
      </c>
      <c r="L583" s="3" t="s">
        <v>12</v>
      </c>
    </row>
    <row r="584" spans="1:12" x14ac:dyDescent="0.2">
      <c r="A584" s="2">
        <v>9</v>
      </c>
      <c r="B584" s="2">
        <v>512</v>
      </c>
      <c r="C584" s="2">
        <v>512</v>
      </c>
      <c r="D584" s="2">
        <v>83</v>
      </c>
      <c r="E584" s="4" t="s">
        <v>12</v>
      </c>
      <c r="F584" s="4">
        <v>7.5225420000000001E-3</v>
      </c>
      <c r="G584" s="2">
        <v>14</v>
      </c>
      <c r="H584" s="1" t="s">
        <v>12</v>
      </c>
      <c r="I584" s="1" t="s">
        <v>12</v>
      </c>
      <c r="J584" s="3">
        <v>11.572660917</v>
      </c>
      <c r="K584" s="3">
        <v>1.174E-2</v>
      </c>
      <c r="L584" s="3" t="s">
        <v>12</v>
      </c>
    </row>
    <row r="585" spans="1:12" x14ac:dyDescent="0.2">
      <c r="A585" s="2">
        <v>9</v>
      </c>
      <c r="B585" s="2">
        <v>512</v>
      </c>
      <c r="C585" s="2">
        <v>512</v>
      </c>
      <c r="D585" s="2">
        <v>84</v>
      </c>
      <c r="E585" s="4" t="s">
        <v>12</v>
      </c>
      <c r="F585" s="4">
        <v>2.9104999999999999E-3</v>
      </c>
      <c r="G585" s="2">
        <v>14</v>
      </c>
      <c r="H585" s="1" t="s">
        <v>12</v>
      </c>
      <c r="I585" s="1" t="s">
        <v>12</v>
      </c>
      <c r="J585" s="3">
        <v>11.572660917</v>
      </c>
      <c r="K585" s="3">
        <v>1.174E-2</v>
      </c>
      <c r="L585" s="3" t="s">
        <v>12</v>
      </c>
    </row>
    <row r="586" spans="1:12" x14ac:dyDescent="0.2">
      <c r="A586" s="2">
        <v>9</v>
      </c>
      <c r="B586" s="2">
        <v>512</v>
      </c>
      <c r="C586" s="2">
        <v>512</v>
      </c>
      <c r="D586" s="2">
        <v>85</v>
      </c>
      <c r="E586" s="4" t="s">
        <v>12</v>
      </c>
      <c r="F586" s="4">
        <v>3.3687919999999998E-3</v>
      </c>
      <c r="G586" s="2">
        <v>14</v>
      </c>
      <c r="H586" s="1" t="s">
        <v>12</v>
      </c>
      <c r="I586" s="1" t="s">
        <v>12</v>
      </c>
      <c r="J586" s="3">
        <v>11.572660917</v>
      </c>
      <c r="K586" s="3">
        <v>1.174E-2</v>
      </c>
      <c r="L586" s="3" t="s">
        <v>12</v>
      </c>
    </row>
    <row r="587" spans="1:12" x14ac:dyDescent="0.2">
      <c r="A587" s="2">
        <v>9</v>
      </c>
      <c r="B587" s="2">
        <v>512</v>
      </c>
      <c r="C587" s="2">
        <v>512</v>
      </c>
      <c r="D587" s="2">
        <v>86</v>
      </c>
      <c r="E587" s="4" t="s">
        <v>12</v>
      </c>
      <c r="F587" s="4">
        <v>3.086334E-3</v>
      </c>
      <c r="G587" s="2">
        <v>14</v>
      </c>
      <c r="H587" s="1" t="s">
        <v>12</v>
      </c>
      <c r="I587" s="1" t="s">
        <v>12</v>
      </c>
      <c r="J587" s="3">
        <v>11.572660917</v>
      </c>
      <c r="K587" s="3">
        <v>1.174E-2</v>
      </c>
      <c r="L587" s="3" t="s">
        <v>12</v>
      </c>
    </row>
    <row r="588" spans="1:12" x14ac:dyDescent="0.2">
      <c r="A588" s="2">
        <v>9</v>
      </c>
      <c r="B588" s="2">
        <v>512</v>
      </c>
      <c r="C588" s="2">
        <v>512</v>
      </c>
      <c r="D588" s="2">
        <v>87</v>
      </c>
      <c r="E588" s="4" t="s">
        <v>12</v>
      </c>
      <c r="F588" s="4">
        <v>3.1492500000000001E-3</v>
      </c>
      <c r="G588" s="2">
        <v>14</v>
      </c>
      <c r="H588" s="1" t="s">
        <v>12</v>
      </c>
      <c r="I588" s="1" t="s">
        <v>12</v>
      </c>
      <c r="J588" s="3">
        <v>11.572660917</v>
      </c>
      <c r="K588" s="3">
        <v>1.174E-2</v>
      </c>
      <c r="L588" s="3" t="s">
        <v>12</v>
      </c>
    </row>
    <row r="589" spans="1:12" x14ac:dyDescent="0.2">
      <c r="A589" s="2">
        <v>9</v>
      </c>
      <c r="B589" s="2">
        <v>512</v>
      </c>
      <c r="C589" s="2">
        <v>512</v>
      </c>
      <c r="D589" s="2">
        <v>88</v>
      </c>
      <c r="E589" s="4" t="s">
        <v>12</v>
      </c>
      <c r="F589" s="4">
        <v>3.0899999999999999E-3</v>
      </c>
      <c r="G589" s="2">
        <v>14</v>
      </c>
      <c r="H589" s="1" t="s">
        <v>12</v>
      </c>
      <c r="I589" s="1" t="s">
        <v>12</v>
      </c>
      <c r="J589" s="3">
        <v>11.572660917</v>
      </c>
      <c r="K589" s="3">
        <v>1.174E-2</v>
      </c>
      <c r="L589" s="3" t="s">
        <v>12</v>
      </c>
    </row>
    <row r="590" spans="1:12" x14ac:dyDescent="0.2">
      <c r="A590" s="2">
        <v>9</v>
      </c>
      <c r="B590" s="2">
        <v>512</v>
      </c>
      <c r="C590" s="2">
        <v>512</v>
      </c>
      <c r="D590" s="2">
        <v>89</v>
      </c>
      <c r="E590" s="4" t="s">
        <v>12</v>
      </c>
      <c r="F590" s="4">
        <v>2.95525E-3</v>
      </c>
      <c r="G590" s="2">
        <v>14</v>
      </c>
      <c r="H590" s="1" t="s">
        <v>12</v>
      </c>
      <c r="I590" s="1" t="s">
        <v>12</v>
      </c>
      <c r="J590" s="3">
        <v>11.572660917</v>
      </c>
      <c r="K590" s="3">
        <v>1.174E-2</v>
      </c>
      <c r="L590" s="3" t="s">
        <v>12</v>
      </c>
    </row>
    <row r="591" spans="1:12" x14ac:dyDescent="0.2">
      <c r="A591" s="2">
        <v>9</v>
      </c>
      <c r="B591" s="2">
        <v>512</v>
      </c>
      <c r="C591" s="2">
        <v>512</v>
      </c>
      <c r="D591" s="2">
        <v>90</v>
      </c>
      <c r="E591" s="4" t="s">
        <v>12</v>
      </c>
      <c r="F591" s="4">
        <v>2.912417E-3</v>
      </c>
      <c r="G591" s="2">
        <v>14</v>
      </c>
      <c r="H591" s="1" t="s">
        <v>12</v>
      </c>
      <c r="I591" s="1" t="s">
        <v>12</v>
      </c>
      <c r="J591" s="3">
        <v>11.572660917</v>
      </c>
      <c r="K591" s="3">
        <v>1.174E-2</v>
      </c>
      <c r="L591" s="3" t="s">
        <v>12</v>
      </c>
    </row>
    <row r="592" spans="1:12" x14ac:dyDescent="0.2">
      <c r="A592" s="2">
        <v>9</v>
      </c>
      <c r="B592" s="2">
        <v>512</v>
      </c>
      <c r="C592" s="2">
        <v>512</v>
      </c>
      <c r="D592" s="2">
        <v>91</v>
      </c>
      <c r="E592" s="4" t="s">
        <v>12</v>
      </c>
      <c r="F592" s="4">
        <v>3.1099999999999999E-3</v>
      </c>
      <c r="G592" s="2">
        <v>14</v>
      </c>
      <c r="H592" s="1" t="s">
        <v>12</v>
      </c>
      <c r="I592" s="1" t="s">
        <v>12</v>
      </c>
      <c r="J592" s="3">
        <v>11.572660917</v>
      </c>
      <c r="K592" s="3">
        <v>1.174E-2</v>
      </c>
      <c r="L592" s="3" t="s">
        <v>12</v>
      </c>
    </row>
    <row r="593" spans="1:12" x14ac:dyDescent="0.2">
      <c r="A593" s="2">
        <v>9</v>
      </c>
      <c r="B593" s="2">
        <v>512</v>
      </c>
      <c r="C593" s="2">
        <v>512</v>
      </c>
      <c r="D593" s="2">
        <v>92</v>
      </c>
      <c r="E593" s="4" t="s">
        <v>12</v>
      </c>
      <c r="F593" s="4">
        <v>2.9512499999999999E-3</v>
      </c>
      <c r="G593" s="2">
        <v>14</v>
      </c>
      <c r="H593" s="1" t="s">
        <v>12</v>
      </c>
      <c r="I593" s="1" t="s">
        <v>12</v>
      </c>
      <c r="J593" s="3">
        <v>11.572660917</v>
      </c>
      <c r="K593" s="3">
        <v>1.174E-2</v>
      </c>
      <c r="L593" s="3" t="s">
        <v>12</v>
      </c>
    </row>
    <row r="594" spans="1:12" x14ac:dyDescent="0.2">
      <c r="A594" s="2">
        <v>9</v>
      </c>
      <c r="B594" s="2">
        <v>512</v>
      </c>
      <c r="C594" s="2">
        <v>512</v>
      </c>
      <c r="D594" s="2">
        <v>93</v>
      </c>
      <c r="E594" s="4" t="s">
        <v>12</v>
      </c>
      <c r="F594" s="4">
        <v>2.9627080000000001E-3</v>
      </c>
      <c r="G594" s="2">
        <v>14</v>
      </c>
      <c r="H594" s="1" t="s">
        <v>12</v>
      </c>
      <c r="I594" s="1" t="s">
        <v>12</v>
      </c>
      <c r="J594" s="3">
        <v>11.572660917</v>
      </c>
      <c r="K594" s="3">
        <v>1.174E-2</v>
      </c>
      <c r="L594" s="3" t="s">
        <v>12</v>
      </c>
    </row>
    <row r="595" spans="1:12" x14ac:dyDescent="0.2">
      <c r="A595" s="2">
        <v>9</v>
      </c>
      <c r="B595" s="2">
        <v>512</v>
      </c>
      <c r="C595" s="2">
        <v>512</v>
      </c>
      <c r="D595" s="2">
        <v>94</v>
      </c>
      <c r="E595" s="4" t="s">
        <v>12</v>
      </c>
      <c r="F595" s="4">
        <v>2.9564579999999999E-3</v>
      </c>
      <c r="G595" s="2">
        <v>14</v>
      </c>
      <c r="H595" s="1" t="s">
        <v>12</v>
      </c>
      <c r="I595" s="1" t="s">
        <v>12</v>
      </c>
      <c r="J595" s="3">
        <v>11.572660917</v>
      </c>
      <c r="K595" s="3">
        <v>1.174E-2</v>
      </c>
      <c r="L595" s="3" t="s">
        <v>12</v>
      </c>
    </row>
    <row r="596" spans="1:12" x14ac:dyDescent="0.2">
      <c r="A596" s="2">
        <v>9</v>
      </c>
      <c r="B596" s="2">
        <v>512</v>
      </c>
      <c r="C596" s="2">
        <v>512</v>
      </c>
      <c r="D596" s="2">
        <v>95</v>
      </c>
      <c r="E596" s="4" t="s">
        <v>12</v>
      </c>
      <c r="F596" s="4">
        <v>2.973917E-3</v>
      </c>
      <c r="G596" s="2">
        <v>14</v>
      </c>
      <c r="H596" s="1" t="s">
        <v>12</v>
      </c>
      <c r="I596" s="1" t="s">
        <v>12</v>
      </c>
      <c r="J596" s="3">
        <v>11.572660917</v>
      </c>
      <c r="K596" s="3">
        <v>1.174E-2</v>
      </c>
      <c r="L596" s="3" t="s">
        <v>12</v>
      </c>
    </row>
    <row r="597" spans="1:12" x14ac:dyDescent="0.2">
      <c r="A597" s="2">
        <v>9</v>
      </c>
      <c r="B597" s="2">
        <v>512</v>
      </c>
      <c r="C597" s="2">
        <v>512</v>
      </c>
      <c r="D597" s="2">
        <v>96</v>
      </c>
      <c r="E597" s="4" t="s">
        <v>12</v>
      </c>
      <c r="F597" s="4">
        <v>3.0466669999999999E-3</v>
      </c>
      <c r="G597" s="2">
        <v>14</v>
      </c>
      <c r="H597" s="1" t="s">
        <v>12</v>
      </c>
      <c r="I597" s="1" t="s">
        <v>12</v>
      </c>
      <c r="J597" s="3">
        <v>11.572660917</v>
      </c>
      <c r="K597" s="3">
        <v>1.174E-2</v>
      </c>
      <c r="L597" s="3" t="s">
        <v>12</v>
      </c>
    </row>
    <row r="598" spans="1:12" x14ac:dyDescent="0.2">
      <c r="A598" s="2">
        <v>9</v>
      </c>
      <c r="B598" s="2">
        <v>512</v>
      </c>
      <c r="C598" s="2">
        <v>512</v>
      </c>
      <c r="D598" s="2">
        <v>97</v>
      </c>
      <c r="E598" s="4" t="s">
        <v>12</v>
      </c>
      <c r="F598" s="4">
        <v>2.8242499999999999E-3</v>
      </c>
      <c r="G598" s="2">
        <v>14</v>
      </c>
      <c r="H598" s="1" t="s">
        <v>12</v>
      </c>
      <c r="I598" s="1" t="s">
        <v>12</v>
      </c>
      <c r="J598" s="3">
        <v>11.572660917</v>
      </c>
      <c r="K598" s="3">
        <v>1.174E-2</v>
      </c>
      <c r="L598" s="3" t="s">
        <v>12</v>
      </c>
    </row>
    <row r="599" spans="1:12" x14ac:dyDescent="0.2">
      <c r="A599" s="2">
        <v>9</v>
      </c>
      <c r="B599" s="2">
        <v>512</v>
      </c>
      <c r="C599" s="2">
        <v>512</v>
      </c>
      <c r="D599" s="2">
        <v>98</v>
      </c>
      <c r="E599" s="4" t="s">
        <v>12</v>
      </c>
      <c r="F599" s="4">
        <v>2.7886249999999999E-3</v>
      </c>
      <c r="G599" s="2">
        <v>14</v>
      </c>
      <c r="H599" s="1" t="s">
        <v>12</v>
      </c>
      <c r="I599" s="1" t="s">
        <v>12</v>
      </c>
      <c r="J599" s="3">
        <v>11.572660917</v>
      </c>
      <c r="K599" s="3">
        <v>1.174E-2</v>
      </c>
      <c r="L599" s="3" t="s">
        <v>12</v>
      </c>
    </row>
    <row r="600" spans="1:12" x14ac:dyDescent="0.2">
      <c r="A600" s="2">
        <v>9</v>
      </c>
      <c r="B600" s="2">
        <v>512</v>
      </c>
      <c r="C600" s="2">
        <v>512</v>
      </c>
      <c r="D600" s="2">
        <v>99</v>
      </c>
      <c r="E600" s="4" t="s">
        <v>12</v>
      </c>
      <c r="F600" s="4">
        <v>2.9787910000000002E-3</v>
      </c>
      <c r="G600" s="2">
        <v>14</v>
      </c>
      <c r="H600" s="1" t="s">
        <v>12</v>
      </c>
      <c r="I600" s="1" t="s">
        <v>12</v>
      </c>
      <c r="J600" s="3">
        <v>11.572660917</v>
      </c>
      <c r="K600" s="3">
        <v>1.174E-2</v>
      </c>
      <c r="L600" s="3" t="s">
        <v>12</v>
      </c>
    </row>
    <row r="601" spans="1:12" x14ac:dyDescent="0.2">
      <c r="A601" s="2">
        <v>9</v>
      </c>
      <c r="B601" s="2">
        <v>512</v>
      </c>
      <c r="C601" s="2">
        <v>512</v>
      </c>
      <c r="D601" s="2">
        <v>100</v>
      </c>
      <c r="E601" s="4" t="s">
        <v>12</v>
      </c>
      <c r="F601" s="4">
        <v>3.0737500000000001E-3</v>
      </c>
      <c r="G601" s="2">
        <v>14</v>
      </c>
      <c r="H601" s="1" t="s">
        <v>12</v>
      </c>
      <c r="I601" s="1" t="s">
        <v>12</v>
      </c>
      <c r="J601" s="3">
        <v>11.572660917</v>
      </c>
      <c r="K601" s="3">
        <v>1.174E-2</v>
      </c>
      <c r="L601" s="3" t="s">
        <v>12</v>
      </c>
    </row>
    <row r="602" spans="1:12" x14ac:dyDescent="0.2">
      <c r="A602" s="2">
        <v>10</v>
      </c>
      <c r="B602" s="2">
        <v>1024</v>
      </c>
      <c r="C602" s="2">
        <v>1024</v>
      </c>
      <c r="D602" s="2">
        <v>1</v>
      </c>
      <c r="E602" s="4" t="s">
        <v>12</v>
      </c>
      <c r="F602" s="4">
        <v>1.9624579999999998E-3</v>
      </c>
      <c r="G602" s="2">
        <v>6</v>
      </c>
      <c r="H602" s="1" t="s">
        <v>12</v>
      </c>
      <c r="I602" s="1" t="s">
        <v>12</v>
      </c>
      <c r="J602" s="3">
        <v>30.249577333000001</v>
      </c>
      <c r="K602" s="3">
        <v>1.3077625000000001E-2</v>
      </c>
      <c r="L602" s="3" t="s">
        <v>12</v>
      </c>
    </row>
    <row r="603" spans="1:12" x14ac:dyDescent="0.2">
      <c r="A603" s="2">
        <v>10</v>
      </c>
      <c r="B603" s="2">
        <v>1024</v>
      </c>
      <c r="C603" s="2">
        <v>1024</v>
      </c>
      <c r="D603" s="2">
        <v>2</v>
      </c>
      <c r="E603" s="4" t="s">
        <v>12</v>
      </c>
      <c r="F603" s="4">
        <v>2.530334E-3</v>
      </c>
      <c r="G603" s="2">
        <v>10</v>
      </c>
      <c r="H603" s="1" t="s">
        <v>12</v>
      </c>
      <c r="I603" s="1" t="s">
        <v>12</v>
      </c>
      <c r="J603" s="3">
        <v>30.249577333000001</v>
      </c>
      <c r="K603" s="3">
        <v>1.3077625000000001E-2</v>
      </c>
      <c r="L603" s="3" t="s">
        <v>12</v>
      </c>
    </row>
    <row r="604" spans="1:12" x14ac:dyDescent="0.2">
      <c r="A604" s="2">
        <v>10</v>
      </c>
      <c r="B604" s="2">
        <v>1024</v>
      </c>
      <c r="C604" s="2">
        <v>1024</v>
      </c>
      <c r="D604" s="2">
        <v>3</v>
      </c>
      <c r="E604" s="4" t="s">
        <v>12</v>
      </c>
      <c r="F604" s="4">
        <v>3.457875E-3</v>
      </c>
      <c r="G604" s="2">
        <v>14</v>
      </c>
      <c r="H604" s="1" t="s">
        <v>12</v>
      </c>
      <c r="I604" s="1" t="s">
        <v>12</v>
      </c>
      <c r="J604" s="3">
        <v>30.249577333000001</v>
      </c>
      <c r="K604" s="3">
        <v>1.3077625000000001E-2</v>
      </c>
      <c r="L604" s="3" t="s">
        <v>12</v>
      </c>
    </row>
    <row r="605" spans="1:12" x14ac:dyDescent="0.2">
      <c r="A605" s="2">
        <v>10</v>
      </c>
      <c r="B605" s="2">
        <v>1024</v>
      </c>
      <c r="C605" s="2">
        <v>1024</v>
      </c>
      <c r="D605" s="2">
        <v>4</v>
      </c>
      <c r="E605" s="4" t="s">
        <v>12</v>
      </c>
      <c r="F605" s="4">
        <v>4.3383340000000001E-3</v>
      </c>
      <c r="G605" s="2">
        <v>14</v>
      </c>
      <c r="H605" s="1" t="s">
        <v>12</v>
      </c>
      <c r="I605" s="1" t="s">
        <v>12</v>
      </c>
      <c r="J605" s="3">
        <v>30.249577333000001</v>
      </c>
      <c r="K605" s="3">
        <v>1.3077625000000001E-2</v>
      </c>
      <c r="L605" s="3" t="s">
        <v>12</v>
      </c>
    </row>
    <row r="606" spans="1:12" x14ac:dyDescent="0.2">
      <c r="A606" s="2">
        <v>10</v>
      </c>
      <c r="B606" s="2">
        <v>1024</v>
      </c>
      <c r="C606" s="2">
        <v>1024</v>
      </c>
      <c r="D606" s="2">
        <v>5</v>
      </c>
      <c r="E606" s="4" t="s">
        <v>12</v>
      </c>
      <c r="F606" s="4">
        <v>2.2520917000000001E-2</v>
      </c>
      <c r="G606" s="2">
        <v>17</v>
      </c>
      <c r="H606" s="1" t="s">
        <v>12</v>
      </c>
      <c r="I606" s="1" t="s">
        <v>12</v>
      </c>
      <c r="J606" s="3">
        <v>30.249577333000001</v>
      </c>
      <c r="K606" s="3">
        <v>1.3077625000000001E-2</v>
      </c>
      <c r="L606" s="3" t="s">
        <v>12</v>
      </c>
    </row>
    <row r="607" spans="1:12" x14ac:dyDescent="0.2">
      <c r="A607" s="2">
        <v>10</v>
      </c>
      <c r="B607" s="2">
        <v>1024</v>
      </c>
      <c r="C607" s="2">
        <v>1024</v>
      </c>
      <c r="D607" s="2">
        <v>6</v>
      </c>
      <c r="E607" s="4" t="s">
        <v>12</v>
      </c>
      <c r="F607" s="4">
        <v>4.3381660000000001E-3</v>
      </c>
      <c r="G607" s="2">
        <v>17</v>
      </c>
      <c r="H607" s="1" t="s">
        <v>12</v>
      </c>
      <c r="I607" s="1" t="s">
        <v>12</v>
      </c>
      <c r="J607" s="3">
        <v>30.249577333000001</v>
      </c>
      <c r="K607" s="3">
        <v>1.3077625000000001E-2</v>
      </c>
      <c r="L607" s="3" t="s">
        <v>12</v>
      </c>
    </row>
    <row r="608" spans="1:12" x14ac:dyDescent="0.2">
      <c r="A608" s="2">
        <v>10</v>
      </c>
      <c r="B608" s="2">
        <v>1024</v>
      </c>
      <c r="C608" s="2">
        <v>1024</v>
      </c>
      <c r="D608" s="2">
        <v>7</v>
      </c>
      <c r="E608" s="4" t="s">
        <v>12</v>
      </c>
      <c r="F608" s="4">
        <v>4.3478329999999997E-3</v>
      </c>
      <c r="G608" s="2">
        <v>17</v>
      </c>
      <c r="H608" s="1" t="s">
        <v>12</v>
      </c>
      <c r="I608" s="1" t="s">
        <v>12</v>
      </c>
      <c r="J608" s="3">
        <v>30.249577333000001</v>
      </c>
      <c r="K608" s="3">
        <v>1.3077625000000001E-2</v>
      </c>
      <c r="L608" s="3" t="s">
        <v>12</v>
      </c>
    </row>
    <row r="609" spans="1:12" x14ac:dyDescent="0.2">
      <c r="A609" s="2">
        <v>10</v>
      </c>
      <c r="B609" s="2">
        <v>1024</v>
      </c>
      <c r="C609" s="2">
        <v>1024</v>
      </c>
      <c r="D609" s="2">
        <v>8</v>
      </c>
      <c r="E609" s="4" t="s">
        <v>12</v>
      </c>
      <c r="F609" s="4">
        <v>4.6342909999999996E-3</v>
      </c>
      <c r="G609" s="2">
        <v>17</v>
      </c>
      <c r="H609" s="1" t="s">
        <v>12</v>
      </c>
      <c r="I609" s="1" t="s">
        <v>12</v>
      </c>
      <c r="J609" s="3">
        <v>30.249577333000001</v>
      </c>
      <c r="K609" s="3">
        <v>1.3077625000000001E-2</v>
      </c>
      <c r="L609" s="3" t="s">
        <v>12</v>
      </c>
    </row>
    <row r="610" spans="1:12" x14ac:dyDescent="0.2">
      <c r="A610" s="2">
        <v>10</v>
      </c>
      <c r="B610" s="2">
        <v>1024</v>
      </c>
      <c r="C610" s="2">
        <v>1024</v>
      </c>
      <c r="D610" s="2">
        <v>9</v>
      </c>
      <c r="E610" s="4" t="s">
        <v>12</v>
      </c>
      <c r="F610" s="4">
        <v>5.0770829999999996E-3</v>
      </c>
      <c r="G610" s="2">
        <v>17</v>
      </c>
      <c r="H610" s="1" t="s">
        <v>12</v>
      </c>
      <c r="I610" s="1" t="s">
        <v>12</v>
      </c>
      <c r="J610" s="3">
        <v>30.249577333000001</v>
      </c>
      <c r="K610" s="3">
        <v>1.3077625000000001E-2</v>
      </c>
      <c r="L610" s="3" t="s">
        <v>12</v>
      </c>
    </row>
    <row r="611" spans="1:12" x14ac:dyDescent="0.2">
      <c r="A611" s="2">
        <v>10</v>
      </c>
      <c r="B611" s="2">
        <v>1024</v>
      </c>
      <c r="C611" s="2">
        <v>1024</v>
      </c>
      <c r="D611" s="2">
        <v>10</v>
      </c>
      <c r="E611" s="4" t="s">
        <v>12</v>
      </c>
      <c r="F611" s="4">
        <v>5.3521660000000002E-3</v>
      </c>
      <c r="G611" s="2">
        <v>17</v>
      </c>
      <c r="H611" s="1" t="s">
        <v>12</v>
      </c>
      <c r="I611" s="1" t="s">
        <v>12</v>
      </c>
      <c r="J611" s="3">
        <v>30.249577333000001</v>
      </c>
      <c r="K611" s="3">
        <v>1.3077625000000001E-2</v>
      </c>
      <c r="L611" s="3" t="s">
        <v>12</v>
      </c>
    </row>
    <row r="612" spans="1:12" x14ac:dyDescent="0.2">
      <c r="A612" s="2">
        <v>10</v>
      </c>
      <c r="B612" s="2">
        <v>1024</v>
      </c>
      <c r="C612" s="2">
        <v>1024</v>
      </c>
      <c r="D612" s="2">
        <v>11</v>
      </c>
      <c r="E612" s="4" t="s">
        <v>12</v>
      </c>
      <c r="F612" s="4">
        <v>4.8020830000000004E-3</v>
      </c>
      <c r="G612" s="2">
        <v>17</v>
      </c>
      <c r="H612" s="1" t="s">
        <v>12</v>
      </c>
      <c r="I612" s="1" t="s">
        <v>12</v>
      </c>
      <c r="J612" s="3">
        <v>30.249577333000001</v>
      </c>
      <c r="K612" s="3">
        <v>1.3077625000000001E-2</v>
      </c>
      <c r="L612" s="3" t="s">
        <v>12</v>
      </c>
    </row>
    <row r="613" spans="1:12" x14ac:dyDescent="0.2">
      <c r="A613" s="2">
        <v>10</v>
      </c>
      <c r="B613" s="2">
        <v>1024</v>
      </c>
      <c r="C613" s="2">
        <v>1024</v>
      </c>
      <c r="D613" s="2">
        <v>12</v>
      </c>
      <c r="E613" s="4" t="s">
        <v>12</v>
      </c>
      <c r="F613" s="4">
        <v>4.6327920000000002E-3</v>
      </c>
      <c r="G613" s="2">
        <v>17</v>
      </c>
      <c r="H613" s="1" t="s">
        <v>12</v>
      </c>
      <c r="I613" s="1" t="s">
        <v>12</v>
      </c>
      <c r="J613" s="3">
        <v>30.249577333000001</v>
      </c>
      <c r="K613" s="3">
        <v>1.3077625000000001E-2</v>
      </c>
      <c r="L613" s="3" t="s">
        <v>12</v>
      </c>
    </row>
    <row r="614" spans="1:12" x14ac:dyDescent="0.2">
      <c r="A614" s="2">
        <v>10</v>
      </c>
      <c r="B614" s="2">
        <v>1024</v>
      </c>
      <c r="C614" s="2">
        <v>1024</v>
      </c>
      <c r="D614" s="2">
        <v>13</v>
      </c>
      <c r="E614" s="4" t="s">
        <v>12</v>
      </c>
      <c r="F614" s="4">
        <v>4.8413750000000002E-3</v>
      </c>
      <c r="G614" s="2">
        <v>17</v>
      </c>
      <c r="H614" s="1" t="s">
        <v>12</v>
      </c>
      <c r="I614" s="1" t="s">
        <v>12</v>
      </c>
      <c r="J614" s="3">
        <v>30.249577333000001</v>
      </c>
      <c r="K614" s="3">
        <v>1.3077625000000001E-2</v>
      </c>
      <c r="L614" s="3" t="s">
        <v>12</v>
      </c>
    </row>
    <row r="615" spans="1:12" x14ac:dyDescent="0.2">
      <c r="A615" s="2">
        <v>10</v>
      </c>
      <c r="B615" s="2">
        <v>1024</v>
      </c>
      <c r="C615" s="2">
        <v>1024</v>
      </c>
      <c r="D615" s="2">
        <v>14</v>
      </c>
      <c r="E615" s="4" t="s">
        <v>12</v>
      </c>
      <c r="F615" s="4">
        <v>4.8522080000000002E-3</v>
      </c>
      <c r="G615" s="2">
        <v>17</v>
      </c>
      <c r="H615" s="1" t="s">
        <v>12</v>
      </c>
      <c r="I615" s="1" t="s">
        <v>12</v>
      </c>
      <c r="J615" s="3">
        <v>30.249577333000001</v>
      </c>
      <c r="K615" s="3">
        <v>1.3077625000000001E-2</v>
      </c>
      <c r="L615" s="3" t="s">
        <v>12</v>
      </c>
    </row>
    <row r="616" spans="1:12" x14ac:dyDescent="0.2">
      <c r="A616" s="2">
        <v>10</v>
      </c>
      <c r="B616" s="2">
        <v>1024</v>
      </c>
      <c r="C616" s="2">
        <v>1024</v>
      </c>
      <c r="D616" s="2">
        <v>15</v>
      </c>
      <c r="E616" s="4" t="s">
        <v>12</v>
      </c>
      <c r="F616" s="4">
        <v>4.5043339999999996E-3</v>
      </c>
      <c r="G616" s="2">
        <v>17</v>
      </c>
      <c r="H616" s="1" t="s">
        <v>12</v>
      </c>
      <c r="I616" s="1" t="s">
        <v>12</v>
      </c>
      <c r="J616" s="3">
        <v>30.249577333000001</v>
      </c>
      <c r="K616" s="3">
        <v>1.3077625000000001E-2</v>
      </c>
      <c r="L616" s="3" t="s">
        <v>12</v>
      </c>
    </row>
    <row r="617" spans="1:12" x14ac:dyDescent="0.2">
      <c r="A617" s="2">
        <v>10</v>
      </c>
      <c r="B617" s="2">
        <v>1024</v>
      </c>
      <c r="C617" s="2">
        <v>1024</v>
      </c>
      <c r="D617" s="2">
        <v>16</v>
      </c>
      <c r="E617" s="4" t="s">
        <v>12</v>
      </c>
      <c r="F617" s="4">
        <v>5.4450419999999998E-3</v>
      </c>
      <c r="G617" s="2">
        <v>17</v>
      </c>
      <c r="H617" s="1" t="s">
        <v>12</v>
      </c>
      <c r="I617" s="1" t="s">
        <v>12</v>
      </c>
      <c r="J617" s="3">
        <v>30.249577333000001</v>
      </c>
      <c r="K617" s="3">
        <v>1.3077625000000001E-2</v>
      </c>
      <c r="L617" s="3" t="s">
        <v>12</v>
      </c>
    </row>
    <row r="618" spans="1:12" x14ac:dyDescent="0.2">
      <c r="A618" s="2">
        <v>10</v>
      </c>
      <c r="B618" s="2">
        <v>1024</v>
      </c>
      <c r="C618" s="2">
        <v>1024</v>
      </c>
      <c r="D618" s="2">
        <v>17</v>
      </c>
      <c r="E618" s="4" t="s">
        <v>12</v>
      </c>
      <c r="F618" s="4">
        <v>1.4132583000000001E-2</v>
      </c>
      <c r="G618" s="2">
        <v>17</v>
      </c>
      <c r="H618" s="1" t="s">
        <v>12</v>
      </c>
      <c r="I618" s="1" t="s">
        <v>12</v>
      </c>
      <c r="J618" s="3">
        <v>30.249577333000001</v>
      </c>
      <c r="K618" s="3">
        <v>1.3077625000000001E-2</v>
      </c>
      <c r="L618" s="3" t="s">
        <v>12</v>
      </c>
    </row>
    <row r="619" spans="1:12" x14ac:dyDescent="0.2">
      <c r="A619" s="2">
        <v>10</v>
      </c>
      <c r="B619" s="2">
        <v>1024</v>
      </c>
      <c r="C619" s="2">
        <v>1024</v>
      </c>
      <c r="D619" s="2">
        <v>18</v>
      </c>
      <c r="E619" s="4" t="s">
        <v>12</v>
      </c>
      <c r="F619" s="4">
        <v>4.6136670000000001E-3</v>
      </c>
      <c r="G619" s="2">
        <v>17</v>
      </c>
      <c r="H619" s="1" t="s">
        <v>12</v>
      </c>
      <c r="I619" s="1" t="s">
        <v>12</v>
      </c>
      <c r="J619" s="3">
        <v>30.249577333000001</v>
      </c>
      <c r="K619" s="3">
        <v>1.3077625000000001E-2</v>
      </c>
      <c r="L619" s="3" t="s">
        <v>12</v>
      </c>
    </row>
    <row r="620" spans="1:12" x14ac:dyDescent="0.2">
      <c r="A620" s="2">
        <v>10</v>
      </c>
      <c r="B620" s="2">
        <v>1024</v>
      </c>
      <c r="C620" s="2">
        <v>1024</v>
      </c>
      <c r="D620" s="2">
        <v>19</v>
      </c>
      <c r="E620" s="4" t="s">
        <v>12</v>
      </c>
      <c r="F620" s="4">
        <v>4.5901249999999996E-3</v>
      </c>
      <c r="G620" s="2">
        <v>16</v>
      </c>
      <c r="H620" s="1" t="s">
        <v>12</v>
      </c>
      <c r="I620" s="1" t="s">
        <v>12</v>
      </c>
      <c r="J620" s="3">
        <v>30.249577333000001</v>
      </c>
      <c r="K620" s="3">
        <v>1.3077625000000001E-2</v>
      </c>
      <c r="L620" s="3" t="s">
        <v>12</v>
      </c>
    </row>
    <row r="621" spans="1:12" x14ac:dyDescent="0.2">
      <c r="A621" s="2">
        <v>10</v>
      </c>
      <c r="B621" s="2">
        <v>1024</v>
      </c>
      <c r="C621" s="2">
        <v>1024</v>
      </c>
      <c r="D621" s="2">
        <v>20</v>
      </c>
      <c r="E621" s="4" t="s">
        <v>12</v>
      </c>
      <c r="F621" s="4">
        <v>5.0534999999999998E-3</v>
      </c>
      <c r="G621" s="2">
        <v>15</v>
      </c>
      <c r="H621" s="1" t="s">
        <v>12</v>
      </c>
      <c r="I621" s="1" t="s">
        <v>12</v>
      </c>
      <c r="J621" s="3">
        <v>30.249577333000001</v>
      </c>
      <c r="K621" s="3">
        <v>1.3077625000000001E-2</v>
      </c>
      <c r="L621" s="3" t="s">
        <v>12</v>
      </c>
    </row>
    <row r="622" spans="1:12" x14ac:dyDescent="0.2">
      <c r="A622" s="2">
        <v>10</v>
      </c>
      <c r="B622" s="2">
        <v>1024</v>
      </c>
      <c r="C622" s="2">
        <v>1024</v>
      </c>
      <c r="D622" s="2">
        <v>21</v>
      </c>
      <c r="E622" s="4" t="s">
        <v>12</v>
      </c>
      <c r="F622" s="4">
        <v>4.0772919999999997E-3</v>
      </c>
      <c r="G622" s="2">
        <v>15</v>
      </c>
      <c r="H622" s="1" t="s">
        <v>12</v>
      </c>
      <c r="I622" s="1" t="s">
        <v>12</v>
      </c>
      <c r="J622" s="3">
        <v>30.249577333000001</v>
      </c>
      <c r="K622" s="3">
        <v>1.3077625000000001E-2</v>
      </c>
      <c r="L622" s="3" t="s">
        <v>12</v>
      </c>
    </row>
    <row r="623" spans="1:12" x14ac:dyDescent="0.2">
      <c r="A623" s="2">
        <v>10</v>
      </c>
      <c r="B623" s="2">
        <v>1024</v>
      </c>
      <c r="C623" s="2">
        <v>1024</v>
      </c>
      <c r="D623" s="2">
        <v>22</v>
      </c>
      <c r="E623" s="4" t="s">
        <v>12</v>
      </c>
      <c r="F623" s="4">
        <v>4.7422499999999999E-3</v>
      </c>
      <c r="G623" s="2">
        <v>15</v>
      </c>
      <c r="H623" s="1" t="s">
        <v>12</v>
      </c>
      <c r="I623" s="1" t="s">
        <v>12</v>
      </c>
      <c r="J623" s="3">
        <v>30.249577333000001</v>
      </c>
      <c r="K623" s="3">
        <v>1.3077625000000001E-2</v>
      </c>
      <c r="L623" s="3" t="s">
        <v>12</v>
      </c>
    </row>
    <row r="624" spans="1:12" x14ac:dyDescent="0.2">
      <c r="A624" s="2">
        <v>10</v>
      </c>
      <c r="B624" s="2">
        <v>1024</v>
      </c>
      <c r="C624" s="2">
        <v>1024</v>
      </c>
      <c r="D624" s="2">
        <v>23</v>
      </c>
      <c r="E624" s="4" t="s">
        <v>12</v>
      </c>
      <c r="F624" s="4">
        <v>4.0829159999999998E-3</v>
      </c>
      <c r="G624" s="2">
        <v>15</v>
      </c>
      <c r="H624" s="1" t="s">
        <v>12</v>
      </c>
      <c r="I624" s="1" t="s">
        <v>12</v>
      </c>
      <c r="J624" s="3">
        <v>30.249577333000001</v>
      </c>
      <c r="K624" s="3">
        <v>1.3077625000000001E-2</v>
      </c>
      <c r="L624" s="3" t="s">
        <v>12</v>
      </c>
    </row>
    <row r="625" spans="1:12" x14ac:dyDescent="0.2">
      <c r="A625" s="2">
        <v>10</v>
      </c>
      <c r="B625" s="2">
        <v>1024</v>
      </c>
      <c r="C625" s="2">
        <v>1024</v>
      </c>
      <c r="D625" s="2">
        <v>24</v>
      </c>
      <c r="E625" s="4" t="s">
        <v>12</v>
      </c>
      <c r="F625" s="4">
        <v>4.1235000000000004E-3</v>
      </c>
      <c r="G625" s="2">
        <v>15</v>
      </c>
      <c r="H625" s="1" t="s">
        <v>12</v>
      </c>
      <c r="I625" s="1" t="s">
        <v>12</v>
      </c>
      <c r="J625" s="3">
        <v>30.249577333000001</v>
      </c>
      <c r="K625" s="3">
        <v>1.3077625000000001E-2</v>
      </c>
      <c r="L625" s="3" t="s">
        <v>12</v>
      </c>
    </row>
    <row r="626" spans="1:12" x14ac:dyDescent="0.2">
      <c r="A626" s="2">
        <v>10</v>
      </c>
      <c r="B626" s="2">
        <v>1024</v>
      </c>
      <c r="C626" s="2">
        <v>1024</v>
      </c>
      <c r="D626" s="2">
        <v>25</v>
      </c>
      <c r="E626" s="4" t="s">
        <v>12</v>
      </c>
      <c r="F626" s="4">
        <v>4.4285000000000001E-3</v>
      </c>
      <c r="G626" s="2">
        <v>15</v>
      </c>
      <c r="H626" s="1" t="s">
        <v>12</v>
      </c>
      <c r="I626" s="1" t="s">
        <v>12</v>
      </c>
      <c r="J626" s="3">
        <v>30.249577333000001</v>
      </c>
      <c r="K626" s="3">
        <v>1.3077625000000001E-2</v>
      </c>
      <c r="L626" s="3" t="s">
        <v>12</v>
      </c>
    </row>
    <row r="627" spans="1:12" x14ac:dyDescent="0.2">
      <c r="A627" s="2">
        <v>10</v>
      </c>
      <c r="B627" s="2">
        <v>1024</v>
      </c>
      <c r="C627" s="2">
        <v>1024</v>
      </c>
      <c r="D627" s="2">
        <v>26</v>
      </c>
      <c r="E627" s="4" t="s">
        <v>12</v>
      </c>
      <c r="F627" s="4">
        <v>4.4911250000000003E-3</v>
      </c>
      <c r="G627" s="2">
        <v>15</v>
      </c>
      <c r="H627" s="1" t="s">
        <v>12</v>
      </c>
      <c r="I627" s="1" t="s">
        <v>12</v>
      </c>
      <c r="J627" s="3">
        <v>30.249577333000001</v>
      </c>
      <c r="K627" s="3">
        <v>1.3077625000000001E-2</v>
      </c>
      <c r="L627" s="3" t="s">
        <v>12</v>
      </c>
    </row>
    <row r="628" spans="1:12" x14ac:dyDescent="0.2">
      <c r="A628" s="2">
        <v>10</v>
      </c>
      <c r="B628" s="2">
        <v>1024</v>
      </c>
      <c r="C628" s="2">
        <v>1024</v>
      </c>
      <c r="D628" s="2">
        <v>27</v>
      </c>
      <c r="E628" s="4" t="s">
        <v>12</v>
      </c>
      <c r="F628" s="4">
        <v>4.0683339999999998E-3</v>
      </c>
      <c r="G628" s="2">
        <v>15</v>
      </c>
      <c r="H628" s="1" t="s">
        <v>12</v>
      </c>
      <c r="I628" s="1" t="s">
        <v>12</v>
      </c>
      <c r="J628" s="3">
        <v>30.249577333000001</v>
      </c>
      <c r="K628" s="3">
        <v>1.3077625000000001E-2</v>
      </c>
      <c r="L628" s="3" t="s">
        <v>12</v>
      </c>
    </row>
    <row r="629" spans="1:12" x14ac:dyDescent="0.2">
      <c r="A629" s="2">
        <v>10</v>
      </c>
      <c r="B629" s="2">
        <v>1024</v>
      </c>
      <c r="C629" s="2">
        <v>1024</v>
      </c>
      <c r="D629" s="2">
        <v>28</v>
      </c>
      <c r="E629" s="4" t="s">
        <v>12</v>
      </c>
      <c r="F629" s="4">
        <v>4.4727919999999997E-3</v>
      </c>
      <c r="G629" s="2">
        <v>15</v>
      </c>
      <c r="H629" s="1" t="s">
        <v>12</v>
      </c>
      <c r="I629" s="1" t="s">
        <v>12</v>
      </c>
      <c r="J629" s="3">
        <v>30.249577333000001</v>
      </c>
      <c r="K629" s="3">
        <v>1.3077625000000001E-2</v>
      </c>
      <c r="L629" s="3" t="s">
        <v>12</v>
      </c>
    </row>
    <row r="630" spans="1:12" x14ac:dyDescent="0.2">
      <c r="A630" s="2">
        <v>10</v>
      </c>
      <c r="B630" s="2">
        <v>1024</v>
      </c>
      <c r="C630" s="2">
        <v>1024</v>
      </c>
      <c r="D630" s="2">
        <v>29</v>
      </c>
      <c r="E630" s="4" t="s">
        <v>12</v>
      </c>
      <c r="F630" s="4">
        <v>4.2106670000000004E-3</v>
      </c>
      <c r="G630" s="2">
        <v>15</v>
      </c>
      <c r="H630" s="1" t="s">
        <v>12</v>
      </c>
      <c r="I630" s="1" t="s">
        <v>12</v>
      </c>
      <c r="J630" s="3">
        <v>30.249577333000001</v>
      </c>
      <c r="K630" s="3">
        <v>1.3077625000000001E-2</v>
      </c>
      <c r="L630" s="3" t="s">
        <v>12</v>
      </c>
    </row>
    <row r="631" spans="1:12" x14ac:dyDescent="0.2">
      <c r="A631" s="2">
        <v>10</v>
      </c>
      <c r="B631" s="2">
        <v>1024</v>
      </c>
      <c r="C631" s="2">
        <v>1024</v>
      </c>
      <c r="D631" s="2">
        <v>30</v>
      </c>
      <c r="E631" s="4" t="s">
        <v>12</v>
      </c>
      <c r="F631" s="4">
        <v>5.1416250000000004E-3</v>
      </c>
      <c r="G631" s="2">
        <v>15</v>
      </c>
      <c r="H631" s="1" t="s">
        <v>12</v>
      </c>
      <c r="I631" s="1" t="s">
        <v>12</v>
      </c>
      <c r="J631" s="3">
        <v>30.249577333000001</v>
      </c>
      <c r="K631" s="3">
        <v>1.3077625000000001E-2</v>
      </c>
      <c r="L631" s="3" t="s">
        <v>12</v>
      </c>
    </row>
    <row r="632" spans="1:12" x14ac:dyDescent="0.2">
      <c r="A632" s="2">
        <v>10</v>
      </c>
      <c r="B632" s="2">
        <v>1024</v>
      </c>
      <c r="C632" s="2">
        <v>1024</v>
      </c>
      <c r="D632" s="2">
        <v>31</v>
      </c>
      <c r="E632" s="4" t="s">
        <v>12</v>
      </c>
      <c r="F632" s="4">
        <v>8.1905410000000008E-3</v>
      </c>
      <c r="G632" s="2">
        <v>15</v>
      </c>
      <c r="H632" s="1" t="s">
        <v>12</v>
      </c>
      <c r="I632" s="1" t="s">
        <v>12</v>
      </c>
      <c r="J632" s="3">
        <v>30.249577333000001</v>
      </c>
      <c r="K632" s="3">
        <v>1.3077625000000001E-2</v>
      </c>
      <c r="L632" s="3" t="s">
        <v>12</v>
      </c>
    </row>
    <row r="633" spans="1:12" x14ac:dyDescent="0.2">
      <c r="A633" s="2">
        <v>10</v>
      </c>
      <c r="B633" s="2">
        <v>1024</v>
      </c>
      <c r="C633" s="2">
        <v>1024</v>
      </c>
      <c r="D633" s="2">
        <v>32</v>
      </c>
      <c r="E633" s="4" t="s">
        <v>12</v>
      </c>
      <c r="F633" s="4">
        <v>4.4682080000000004E-3</v>
      </c>
      <c r="G633" s="2">
        <v>15</v>
      </c>
      <c r="H633" s="1" t="s">
        <v>12</v>
      </c>
      <c r="I633" s="1" t="s">
        <v>12</v>
      </c>
      <c r="J633" s="3">
        <v>30.249577333000001</v>
      </c>
      <c r="K633" s="3">
        <v>1.3077625000000001E-2</v>
      </c>
      <c r="L633" s="3" t="s">
        <v>12</v>
      </c>
    </row>
    <row r="634" spans="1:12" x14ac:dyDescent="0.2">
      <c r="A634" s="2">
        <v>10</v>
      </c>
      <c r="B634" s="2">
        <v>1024</v>
      </c>
      <c r="C634" s="2">
        <v>1024</v>
      </c>
      <c r="D634" s="2">
        <v>33</v>
      </c>
      <c r="E634" s="4" t="s">
        <v>12</v>
      </c>
      <c r="F634" s="4">
        <v>3.9290419999999998E-3</v>
      </c>
      <c r="G634" s="2">
        <v>15</v>
      </c>
      <c r="H634" s="1" t="s">
        <v>12</v>
      </c>
      <c r="I634" s="1" t="s">
        <v>12</v>
      </c>
      <c r="J634" s="3">
        <v>30.249577333000001</v>
      </c>
      <c r="K634" s="3">
        <v>1.3077625000000001E-2</v>
      </c>
      <c r="L634" s="3" t="s">
        <v>12</v>
      </c>
    </row>
    <row r="635" spans="1:12" x14ac:dyDescent="0.2">
      <c r="A635" s="2">
        <v>10</v>
      </c>
      <c r="B635" s="2">
        <v>1024</v>
      </c>
      <c r="C635" s="2">
        <v>1024</v>
      </c>
      <c r="D635" s="2">
        <v>34</v>
      </c>
      <c r="E635" s="4" t="s">
        <v>12</v>
      </c>
      <c r="F635" s="4">
        <v>5.0414170000000003E-3</v>
      </c>
      <c r="G635" s="2">
        <v>15</v>
      </c>
      <c r="H635" s="1" t="s">
        <v>12</v>
      </c>
      <c r="I635" s="1" t="s">
        <v>12</v>
      </c>
      <c r="J635" s="3">
        <v>30.249577333000001</v>
      </c>
      <c r="K635" s="3">
        <v>1.3077625000000001E-2</v>
      </c>
      <c r="L635" s="3" t="s">
        <v>12</v>
      </c>
    </row>
    <row r="636" spans="1:12" x14ac:dyDescent="0.2">
      <c r="A636" s="2">
        <v>10</v>
      </c>
      <c r="B636" s="2">
        <v>1024</v>
      </c>
      <c r="C636" s="2">
        <v>1024</v>
      </c>
      <c r="D636" s="2">
        <v>35</v>
      </c>
      <c r="E636" s="4" t="s">
        <v>12</v>
      </c>
      <c r="F636" s="4">
        <v>4.7496250000000004E-3</v>
      </c>
      <c r="G636" s="2">
        <v>15</v>
      </c>
      <c r="H636" s="1" t="s">
        <v>12</v>
      </c>
      <c r="I636" s="1" t="s">
        <v>12</v>
      </c>
      <c r="J636" s="3">
        <v>30.249577333000001</v>
      </c>
      <c r="K636" s="3">
        <v>1.3077625000000001E-2</v>
      </c>
      <c r="L636" s="3" t="s">
        <v>12</v>
      </c>
    </row>
    <row r="637" spans="1:12" x14ac:dyDescent="0.2">
      <c r="A637" s="2">
        <v>10</v>
      </c>
      <c r="B637" s="2">
        <v>1024</v>
      </c>
      <c r="C637" s="2">
        <v>1024</v>
      </c>
      <c r="D637" s="2">
        <v>36</v>
      </c>
      <c r="E637" s="4" t="s">
        <v>12</v>
      </c>
      <c r="F637" s="4">
        <v>4.2385419999999997E-3</v>
      </c>
      <c r="G637" s="2">
        <v>15</v>
      </c>
      <c r="H637" s="1" t="s">
        <v>12</v>
      </c>
      <c r="I637" s="1" t="s">
        <v>12</v>
      </c>
      <c r="J637" s="3">
        <v>30.249577333000001</v>
      </c>
      <c r="K637" s="3">
        <v>1.3077625000000001E-2</v>
      </c>
      <c r="L637" s="3" t="s">
        <v>12</v>
      </c>
    </row>
    <row r="638" spans="1:12" x14ac:dyDescent="0.2">
      <c r="A638" s="2">
        <v>10</v>
      </c>
      <c r="B638" s="2">
        <v>1024</v>
      </c>
      <c r="C638" s="2">
        <v>1024</v>
      </c>
      <c r="D638" s="2">
        <v>37</v>
      </c>
      <c r="E638" s="4" t="s">
        <v>12</v>
      </c>
      <c r="F638" s="4">
        <v>5.0976249999999997E-3</v>
      </c>
      <c r="G638" s="2">
        <v>15</v>
      </c>
      <c r="H638" s="1" t="s">
        <v>12</v>
      </c>
      <c r="I638" s="1" t="s">
        <v>12</v>
      </c>
      <c r="J638" s="3">
        <v>30.249577333000001</v>
      </c>
      <c r="K638" s="3">
        <v>1.3077625000000001E-2</v>
      </c>
      <c r="L638" s="3" t="s">
        <v>12</v>
      </c>
    </row>
    <row r="639" spans="1:12" x14ac:dyDescent="0.2">
      <c r="A639" s="2">
        <v>10</v>
      </c>
      <c r="B639" s="2">
        <v>1024</v>
      </c>
      <c r="C639" s="2">
        <v>1024</v>
      </c>
      <c r="D639" s="2">
        <v>38</v>
      </c>
      <c r="E639" s="4" t="s">
        <v>12</v>
      </c>
      <c r="F639" s="4">
        <v>3.9623749999999998E-3</v>
      </c>
      <c r="G639" s="2">
        <v>15</v>
      </c>
      <c r="H639" s="1" t="s">
        <v>12</v>
      </c>
      <c r="I639" s="1" t="s">
        <v>12</v>
      </c>
      <c r="J639" s="3">
        <v>30.249577333000001</v>
      </c>
      <c r="K639" s="3">
        <v>1.3077625000000001E-2</v>
      </c>
      <c r="L639" s="3" t="s">
        <v>12</v>
      </c>
    </row>
    <row r="640" spans="1:12" x14ac:dyDescent="0.2">
      <c r="A640" s="2">
        <v>10</v>
      </c>
      <c r="B640" s="2">
        <v>1024</v>
      </c>
      <c r="C640" s="2">
        <v>1024</v>
      </c>
      <c r="D640" s="2">
        <v>39</v>
      </c>
      <c r="E640" s="4" t="s">
        <v>12</v>
      </c>
      <c r="F640" s="4">
        <v>4.7301670000000004E-3</v>
      </c>
      <c r="G640" s="2">
        <v>15</v>
      </c>
      <c r="H640" s="1" t="s">
        <v>12</v>
      </c>
      <c r="I640" s="1" t="s">
        <v>12</v>
      </c>
      <c r="J640" s="3">
        <v>30.249577333000001</v>
      </c>
      <c r="K640" s="3">
        <v>1.3077625000000001E-2</v>
      </c>
      <c r="L640" s="3" t="s">
        <v>12</v>
      </c>
    </row>
    <row r="641" spans="1:12" x14ac:dyDescent="0.2">
      <c r="A641" s="2">
        <v>10</v>
      </c>
      <c r="B641" s="2">
        <v>1024</v>
      </c>
      <c r="C641" s="2">
        <v>1024</v>
      </c>
      <c r="D641" s="2">
        <v>40</v>
      </c>
      <c r="E641" s="4" t="s">
        <v>12</v>
      </c>
      <c r="F641" s="4">
        <v>3.9864999999999996E-3</v>
      </c>
      <c r="G641" s="2">
        <v>15</v>
      </c>
      <c r="H641" s="1" t="s">
        <v>12</v>
      </c>
      <c r="I641" s="1" t="s">
        <v>12</v>
      </c>
      <c r="J641" s="3">
        <v>30.249577333000001</v>
      </c>
      <c r="K641" s="3">
        <v>1.3077625000000001E-2</v>
      </c>
      <c r="L641" s="3" t="s">
        <v>12</v>
      </c>
    </row>
    <row r="642" spans="1:12" x14ac:dyDescent="0.2">
      <c r="A642" s="2">
        <v>10</v>
      </c>
      <c r="B642" s="2">
        <v>1024</v>
      </c>
      <c r="C642" s="2">
        <v>1024</v>
      </c>
      <c r="D642" s="2">
        <v>41</v>
      </c>
      <c r="E642" s="4" t="s">
        <v>12</v>
      </c>
      <c r="F642" s="4">
        <v>4.452709E-3</v>
      </c>
      <c r="G642" s="2">
        <v>15</v>
      </c>
      <c r="H642" s="1" t="s">
        <v>12</v>
      </c>
      <c r="I642" s="1" t="s">
        <v>12</v>
      </c>
      <c r="J642" s="3">
        <v>30.249577333000001</v>
      </c>
      <c r="K642" s="3">
        <v>1.3077625000000001E-2</v>
      </c>
      <c r="L642" s="3" t="s">
        <v>12</v>
      </c>
    </row>
    <row r="643" spans="1:12" x14ac:dyDescent="0.2">
      <c r="A643" s="2">
        <v>10</v>
      </c>
      <c r="B643" s="2">
        <v>1024</v>
      </c>
      <c r="C643" s="2">
        <v>1024</v>
      </c>
      <c r="D643" s="2">
        <v>42</v>
      </c>
      <c r="E643" s="4" t="s">
        <v>12</v>
      </c>
      <c r="F643" s="4">
        <v>4.3163749999999999E-3</v>
      </c>
      <c r="G643" s="2">
        <v>15</v>
      </c>
      <c r="H643" s="1" t="s">
        <v>12</v>
      </c>
      <c r="I643" s="1" t="s">
        <v>12</v>
      </c>
      <c r="J643" s="3">
        <v>30.249577333000001</v>
      </c>
      <c r="K643" s="3">
        <v>1.3077625000000001E-2</v>
      </c>
      <c r="L643" s="3" t="s">
        <v>12</v>
      </c>
    </row>
    <row r="644" spans="1:12" x14ac:dyDescent="0.2">
      <c r="A644" s="2">
        <v>10</v>
      </c>
      <c r="B644" s="2">
        <v>1024</v>
      </c>
      <c r="C644" s="2">
        <v>1024</v>
      </c>
      <c r="D644" s="2">
        <v>43</v>
      </c>
      <c r="E644" s="4" t="s">
        <v>12</v>
      </c>
      <c r="F644" s="4">
        <v>4.0837499999999997E-3</v>
      </c>
      <c r="G644" s="2">
        <v>15</v>
      </c>
      <c r="H644" s="1" t="s">
        <v>12</v>
      </c>
      <c r="I644" s="1" t="s">
        <v>12</v>
      </c>
      <c r="J644" s="3">
        <v>30.249577333000001</v>
      </c>
      <c r="K644" s="3">
        <v>1.3077625000000001E-2</v>
      </c>
      <c r="L644" s="3" t="s">
        <v>12</v>
      </c>
    </row>
    <row r="645" spans="1:12" x14ac:dyDescent="0.2">
      <c r="A645" s="2">
        <v>10</v>
      </c>
      <c r="B645" s="2">
        <v>1024</v>
      </c>
      <c r="C645" s="2">
        <v>1024</v>
      </c>
      <c r="D645" s="2">
        <v>44</v>
      </c>
      <c r="E645" s="4" t="s">
        <v>12</v>
      </c>
      <c r="F645" s="4">
        <v>4.9641249999999998E-3</v>
      </c>
      <c r="G645" s="2">
        <v>15</v>
      </c>
      <c r="H645" s="1" t="s">
        <v>12</v>
      </c>
      <c r="I645" s="1" t="s">
        <v>12</v>
      </c>
      <c r="J645" s="3">
        <v>30.249577333000001</v>
      </c>
      <c r="K645" s="3">
        <v>1.3077625000000001E-2</v>
      </c>
      <c r="L645" s="3" t="s">
        <v>12</v>
      </c>
    </row>
    <row r="646" spans="1:12" x14ac:dyDescent="0.2">
      <c r="A646" s="2">
        <v>10</v>
      </c>
      <c r="B646" s="2">
        <v>1024</v>
      </c>
      <c r="C646" s="2">
        <v>1024</v>
      </c>
      <c r="D646" s="2">
        <v>45</v>
      </c>
      <c r="E646" s="4" t="s">
        <v>12</v>
      </c>
      <c r="F646" s="4">
        <v>8.4342089999999998E-3</v>
      </c>
      <c r="G646" s="2">
        <v>15</v>
      </c>
      <c r="H646" s="1" t="s">
        <v>12</v>
      </c>
      <c r="I646" s="1" t="s">
        <v>12</v>
      </c>
      <c r="J646" s="3">
        <v>30.249577333000001</v>
      </c>
      <c r="K646" s="3">
        <v>1.3077625000000001E-2</v>
      </c>
      <c r="L646" s="3" t="s">
        <v>12</v>
      </c>
    </row>
    <row r="647" spans="1:12" x14ac:dyDescent="0.2">
      <c r="A647" s="2">
        <v>10</v>
      </c>
      <c r="B647" s="2">
        <v>1024</v>
      </c>
      <c r="C647" s="2">
        <v>1024</v>
      </c>
      <c r="D647" s="2">
        <v>46</v>
      </c>
      <c r="E647" s="4" t="s">
        <v>12</v>
      </c>
      <c r="F647" s="4">
        <v>3.884083E-3</v>
      </c>
      <c r="G647" s="2">
        <v>14</v>
      </c>
      <c r="H647" s="1" t="s">
        <v>12</v>
      </c>
      <c r="I647" s="1" t="s">
        <v>12</v>
      </c>
      <c r="J647" s="3">
        <v>30.249577333000001</v>
      </c>
      <c r="K647" s="3">
        <v>1.3077625000000001E-2</v>
      </c>
      <c r="L647" s="3" t="s">
        <v>12</v>
      </c>
    </row>
    <row r="648" spans="1:12" x14ac:dyDescent="0.2">
      <c r="A648" s="2">
        <v>10</v>
      </c>
      <c r="B648" s="2">
        <v>1024</v>
      </c>
      <c r="C648" s="2">
        <v>1024</v>
      </c>
      <c r="D648" s="2">
        <v>47</v>
      </c>
      <c r="E648" s="4" t="s">
        <v>12</v>
      </c>
      <c r="F648" s="4">
        <v>4.0025E-3</v>
      </c>
      <c r="G648" s="2">
        <v>14</v>
      </c>
      <c r="H648" s="1" t="s">
        <v>12</v>
      </c>
      <c r="I648" s="1" t="s">
        <v>12</v>
      </c>
      <c r="J648" s="3">
        <v>30.249577333000001</v>
      </c>
      <c r="K648" s="3">
        <v>1.3077625000000001E-2</v>
      </c>
      <c r="L648" s="3" t="s">
        <v>12</v>
      </c>
    </row>
    <row r="649" spans="1:12" x14ac:dyDescent="0.2">
      <c r="A649" s="2">
        <v>10</v>
      </c>
      <c r="B649" s="2">
        <v>1024</v>
      </c>
      <c r="C649" s="2">
        <v>1024</v>
      </c>
      <c r="D649" s="2">
        <v>48</v>
      </c>
      <c r="E649" s="4" t="s">
        <v>12</v>
      </c>
      <c r="F649" s="4">
        <v>3.5323339999999998E-3</v>
      </c>
      <c r="G649" s="2">
        <v>14</v>
      </c>
      <c r="H649" s="1" t="s">
        <v>12</v>
      </c>
      <c r="I649" s="1" t="s">
        <v>12</v>
      </c>
      <c r="J649" s="3">
        <v>30.249577333000001</v>
      </c>
      <c r="K649" s="3">
        <v>1.3077625000000001E-2</v>
      </c>
      <c r="L649" s="3" t="s">
        <v>12</v>
      </c>
    </row>
    <row r="650" spans="1:12" x14ac:dyDescent="0.2">
      <c r="A650" s="2">
        <v>10</v>
      </c>
      <c r="B650" s="2">
        <v>1024</v>
      </c>
      <c r="C650" s="2">
        <v>1024</v>
      </c>
      <c r="D650" s="2">
        <v>49</v>
      </c>
      <c r="E650" s="4" t="s">
        <v>12</v>
      </c>
      <c r="F650" s="4">
        <v>3.7352919999999999E-3</v>
      </c>
      <c r="G650" s="2">
        <v>14</v>
      </c>
      <c r="H650" s="1" t="s">
        <v>12</v>
      </c>
      <c r="I650" s="1" t="s">
        <v>12</v>
      </c>
      <c r="J650" s="3">
        <v>30.249577333000001</v>
      </c>
      <c r="K650" s="3">
        <v>1.3077625000000001E-2</v>
      </c>
      <c r="L650" s="3" t="s">
        <v>12</v>
      </c>
    </row>
    <row r="651" spans="1:12" x14ac:dyDescent="0.2">
      <c r="A651" s="2">
        <v>10</v>
      </c>
      <c r="B651" s="2">
        <v>1024</v>
      </c>
      <c r="C651" s="2">
        <v>1024</v>
      </c>
      <c r="D651" s="2">
        <v>50</v>
      </c>
      <c r="E651" s="4" t="s">
        <v>12</v>
      </c>
      <c r="F651" s="4">
        <v>4.106958E-3</v>
      </c>
      <c r="G651" s="2">
        <v>14</v>
      </c>
      <c r="H651" s="1" t="s">
        <v>12</v>
      </c>
      <c r="I651" s="1" t="s">
        <v>12</v>
      </c>
      <c r="J651" s="3">
        <v>30.249577333000001</v>
      </c>
      <c r="K651" s="3">
        <v>1.3077625000000001E-2</v>
      </c>
      <c r="L651" s="3" t="s">
        <v>12</v>
      </c>
    </row>
    <row r="652" spans="1:12" x14ac:dyDescent="0.2">
      <c r="A652" s="2">
        <v>10</v>
      </c>
      <c r="B652" s="2">
        <v>1024</v>
      </c>
      <c r="C652" s="2">
        <v>1024</v>
      </c>
      <c r="D652" s="2">
        <v>51</v>
      </c>
      <c r="E652" s="4" t="s">
        <v>12</v>
      </c>
      <c r="F652" s="4">
        <v>3.5912090000000002E-3</v>
      </c>
      <c r="G652" s="2">
        <v>14</v>
      </c>
      <c r="H652" s="1" t="s">
        <v>12</v>
      </c>
      <c r="I652" s="1" t="s">
        <v>12</v>
      </c>
      <c r="J652" s="3">
        <v>30.249577333000001</v>
      </c>
      <c r="K652" s="3">
        <v>1.3077625000000001E-2</v>
      </c>
      <c r="L652" s="3" t="s">
        <v>12</v>
      </c>
    </row>
    <row r="653" spans="1:12" x14ac:dyDescent="0.2">
      <c r="A653" s="2">
        <v>10</v>
      </c>
      <c r="B653" s="2">
        <v>1024</v>
      </c>
      <c r="C653" s="2">
        <v>1024</v>
      </c>
      <c r="D653" s="2">
        <v>52</v>
      </c>
      <c r="E653" s="4" t="s">
        <v>12</v>
      </c>
      <c r="F653" s="4">
        <v>4.1207919999999999E-3</v>
      </c>
      <c r="G653" s="2">
        <v>14</v>
      </c>
      <c r="H653" s="1" t="s">
        <v>12</v>
      </c>
      <c r="I653" s="1" t="s">
        <v>12</v>
      </c>
      <c r="J653" s="3">
        <v>30.249577333000001</v>
      </c>
      <c r="K653" s="3">
        <v>1.3077625000000001E-2</v>
      </c>
      <c r="L653" s="3" t="s">
        <v>12</v>
      </c>
    </row>
    <row r="654" spans="1:12" x14ac:dyDescent="0.2">
      <c r="A654" s="2">
        <v>10</v>
      </c>
      <c r="B654" s="2">
        <v>1024</v>
      </c>
      <c r="C654" s="2">
        <v>1024</v>
      </c>
      <c r="D654" s="2">
        <v>53</v>
      </c>
      <c r="E654" s="4" t="s">
        <v>12</v>
      </c>
      <c r="F654" s="4">
        <v>3.5344999999999999E-3</v>
      </c>
      <c r="G654" s="2">
        <v>14</v>
      </c>
      <c r="H654" s="1" t="s">
        <v>12</v>
      </c>
      <c r="I654" s="1" t="s">
        <v>12</v>
      </c>
      <c r="J654" s="3">
        <v>30.249577333000001</v>
      </c>
      <c r="K654" s="3">
        <v>1.3077625000000001E-2</v>
      </c>
      <c r="L654" s="3" t="s">
        <v>12</v>
      </c>
    </row>
    <row r="655" spans="1:12" x14ac:dyDescent="0.2">
      <c r="A655" s="2">
        <v>10</v>
      </c>
      <c r="B655" s="2">
        <v>1024</v>
      </c>
      <c r="C655" s="2">
        <v>1024</v>
      </c>
      <c r="D655" s="2">
        <v>54</v>
      </c>
      <c r="E655" s="4" t="s">
        <v>12</v>
      </c>
      <c r="F655" s="4">
        <v>4.2591249999999999E-3</v>
      </c>
      <c r="G655" s="2">
        <v>14</v>
      </c>
      <c r="H655" s="1" t="s">
        <v>12</v>
      </c>
      <c r="I655" s="1" t="s">
        <v>12</v>
      </c>
      <c r="J655" s="3">
        <v>30.249577333000001</v>
      </c>
      <c r="K655" s="3">
        <v>1.3077625000000001E-2</v>
      </c>
      <c r="L655" s="3" t="s">
        <v>12</v>
      </c>
    </row>
    <row r="656" spans="1:12" x14ac:dyDescent="0.2">
      <c r="A656" s="2">
        <v>10</v>
      </c>
      <c r="B656" s="2">
        <v>1024</v>
      </c>
      <c r="C656" s="2">
        <v>1024</v>
      </c>
      <c r="D656" s="2">
        <v>55</v>
      </c>
      <c r="E656" s="4" t="s">
        <v>12</v>
      </c>
      <c r="F656" s="4">
        <v>3.4916669999999999E-3</v>
      </c>
      <c r="G656" s="2">
        <v>14</v>
      </c>
      <c r="H656" s="1" t="s">
        <v>12</v>
      </c>
      <c r="I656" s="1" t="s">
        <v>12</v>
      </c>
      <c r="J656" s="3">
        <v>30.249577333000001</v>
      </c>
      <c r="K656" s="3">
        <v>1.3077625000000001E-2</v>
      </c>
      <c r="L656" s="3" t="s">
        <v>12</v>
      </c>
    </row>
    <row r="657" spans="1:12" x14ac:dyDescent="0.2">
      <c r="A657" s="2">
        <v>10</v>
      </c>
      <c r="B657" s="2">
        <v>1024</v>
      </c>
      <c r="C657" s="2">
        <v>1024</v>
      </c>
      <c r="D657" s="2">
        <v>56</v>
      </c>
      <c r="E657" s="4" t="s">
        <v>12</v>
      </c>
      <c r="F657" s="4">
        <v>4.2103330000000001E-3</v>
      </c>
      <c r="G657" s="2">
        <v>14</v>
      </c>
      <c r="H657" s="1" t="s">
        <v>12</v>
      </c>
      <c r="I657" s="1" t="s">
        <v>12</v>
      </c>
      <c r="J657" s="3">
        <v>30.249577333000001</v>
      </c>
      <c r="K657" s="3">
        <v>1.3077625000000001E-2</v>
      </c>
      <c r="L657" s="3" t="s">
        <v>12</v>
      </c>
    </row>
    <row r="658" spans="1:12" x14ac:dyDescent="0.2">
      <c r="A658" s="2">
        <v>10</v>
      </c>
      <c r="B658" s="2">
        <v>1024</v>
      </c>
      <c r="C658" s="2">
        <v>1024</v>
      </c>
      <c r="D658" s="2">
        <v>57</v>
      </c>
      <c r="E658" s="4" t="s">
        <v>12</v>
      </c>
      <c r="F658" s="4">
        <v>3.5232499999999999E-3</v>
      </c>
      <c r="G658" s="2">
        <v>14</v>
      </c>
      <c r="H658" s="1" t="s">
        <v>12</v>
      </c>
      <c r="I658" s="1" t="s">
        <v>12</v>
      </c>
      <c r="J658" s="3">
        <v>30.249577333000001</v>
      </c>
      <c r="K658" s="3">
        <v>1.3077625000000001E-2</v>
      </c>
      <c r="L658" s="3" t="s">
        <v>12</v>
      </c>
    </row>
    <row r="659" spans="1:12" x14ac:dyDescent="0.2">
      <c r="A659" s="2">
        <v>10</v>
      </c>
      <c r="B659" s="2">
        <v>1024</v>
      </c>
      <c r="C659" s="2">
        <v>1024</v>
      </c>
      <c r="D659" s="2">
        <v>58</v>
      </c>
      <c r="E659" s="4" t="s">
        <v>12</v>
      </c>
      <c r="F659" s="4">
        <v>4.075792E-3</v>
      </c>
      <c r="G659" s="2">
        <v>14</v>
      </c>
      <c r="H659" s="1" t="s">
        <v>12</v>
      </c>
      <c r="I659" s="1" t="s">
        <v>12</v>
      </c>
      <c r="J659" s="3">
        <v>30.249577333000001</v>
      </c>
      <c r="K659" s="3">
        <v>1.3077625000000001E-2</v>
      </c>
      <c r="L659" s="3" t="s">
        <v>12</v>
      </c>
    </row>
    <row r="660" spans="1:12" x14ac:dyDescent="0.2">
      <c r="A660" s="2">
        <v>10</v>
      </c>
      <c r="B660" s="2">
        <v>1024</v>
      </c>
      <c r="C660" s="2">
        <v>1024</v>
      </c>
      <c r="D660" s="2">
        <v>59</v>
      </c>
      <c r="E660" s="4" t="s">
        <v>12</v>
      </c>
      <c r="F660" s="4">
        <v>3.4480420000000001E-3</v>
      </c>
      <c r="G660" s="2">
        <v>14</v>
      </c>
      <c r="H660" s="1" t="s">
        <v>12</v>
      </c>
      <c r="I660" s="1" t="s">
        <v>12</v>
      </c>
      <c r="J660" s="3">
        <v>30.249577333000001</v>
      </c>
      <c r="K660" s="3">
        <v>1.3077625000000001E-2</v>
      </c>
      <c r="L660" s="3" t="s">
        <v>12</v>
      </c>
    </row>
    <row r="661" spans="1:12" x14ac:dyDescent="0.2">
      <c r="A661" s="2">
        <v>10</v>
      </c>
      <c r="B661" s="2">
        <v>1024</v>
      </c>
      <c r="C661" s="2">
        <v>1024</v>
      </c>
      <c r="D661" s="2">
        <v>60</v>
      </c>
      <c r="E661" s="4" t="s">
        <v>12</v>
      </c>
      <c r="F661" s="4">
        <v>4.0402090000000003E-3</v>
      </c>
      <c r="G661" s="2">
        <v>14</v>
      </c>
      <c r="H661" s="1" t="s">
        <v>12</v>
      </c>
      <c r="I661" s="1" t="s">
        <v>12</v>
      </c>
      <c r="J661" s="3">
        <v>30.249577333000001</v>
      </c>
      <c r="K661" s="3">
        <v>1.3077625000000001E-2</v>
      </c>
      <c r="L661" s="3" t="s">
        <v>12</v>
      </c>
    </row>
    <row r="662" spans="1:12" x14ac:dyDescent="0.2">
      <c r="A662" s="2">
        <v>10</v>
      </c>
      <c r="B662" s="2">
        <v>1024</v>
      </c>
      <c r="C662" s="2">
        <v>1024</v>
      </c>
      <c r="D662" s="2">
        <v>61</v>
      </c>
      <c r="E662" s="4" t="s">
        <v>12</v>
      </c>
      <c r="F662" s="4">
        <v>8.0007919999999996E-3</v>
      </c>
      <c r="G662" s="2">
        <v>14</v>
      </c>
      <c r="H662" s="1" t="s">
        <v>12</v>
      </c>
      <c r="I662" s="1" t="s">
        <v>12</v>
      </c>
      <c r="J662" s="3">
        <v>30.249577333000001</v>
      </c>
      <c r="K662" s="3">
        <v>1.3077625000000001E-2</v>
      </c>
      <c r="L662" s="3" t="s">
        <v>12</v>
      </c>
    </row>
    <row r="663" spans="1:12" x14ac:dyDescent="0.2">
      <c r="A663" s="2">
        <v>10</v>
      </c>
      <c r="B663" s="2">
        <v>1024</v>
      </c>
      <c r="C663" s="2">
        <v>1024</v>
      </c>
      <c r="D663" s="2">
        <v>62</v>
      </c>
      <c r="E663" s="4" t="s">
        <v>12</v>
      </c>
      <c r="F663" s="4">
        <v>3.6797499999999999E-3</v>
      </c>
      <c r="G663" s="2">
        <v>14</v>
      </c>
      <c r="H663" s="1" t="s">
        <v>12</v>
      </c>
      <c r="I663" s="1" t="s">
        <v>12</v>
      </c>
      <c r="J663" s="3">
        <v>30.249577333000001</v>
      </c>
      <c r="K663" s="3">
        <v>1.3077625000000001E-2</v>
      </c>
      <c r="L663" s="3" t="s">
        <v>12</v>
      </c>
    </row>
    <row r="664" spans="1:12" x14ac:dyDescent="0.2">
      <c r="A664" s="2">
        <v>10</v>
      </c>
      <c r="B664" s="2">
        <v>1024</v>
      </c>
      <c r="C664" s="2">
        <v>1024</v>
      </c>
      <c r="D664" s="2">
        <v>63</v>
      </c>
      <c r="E664" s="4" t="s">
        <v>12</v>
      </c>
      <c r="F664" s="4">
        <v>3.7325840000000002E-3</v>
      </c>
      <c r="G664" s="2">
        <v>14</v>
      </c>
      <c r="H664" s="1" t="s">
        <v>12</v>
      </c>
      <c r="I664" s="1" t="s">
        <v>12</v>
      </c>
      <c r="J664" s="3">
        <v>30.249577333000001</v>
      </c>
      <c r="K664" s="3">
        <v>1.3077625000000001E-2</v>
      </c>
      <c r="L664" s="3" t="s">
        <v>12</v>
      </c>
    </row>
    <row r="665" spans="1:12" x14ac:dyDescent="0.2">
      <c r="A665" s="2">
        <v>10</v>
      </c>
      <c r="B665" s="2">
        <v>1024</v>
      </c>
      <c r="C665" s="2">
        <v>1024</v>
      </c>
      <c r="D665" s="2">
        <v>64</v>
      </c>
      <c r="E665" s="4" t="s">
        <v>12</v>
      </c>
      <c r="F665" s="4">
        <v>3.7424170000000001E-3</v>
      </c>
      <c r="G665" s="2">
        <v>14</v>
      </c>
      <c r="H665" s="1" t="s">
        <v>12</v>
      </c>
      <c r="I665" s="1" t="s">
        <v>12</v>
      </c>
      <c r="J665" s="3">
        <v>30.249577333000001</v>
      </c>
      <c r="K665" s="3">
        <v>1.3077625000000001E-2</v>
      </c>
      <c r="L665" s="3" t="s">
        <v>12</v>
      </c>
    </row>
    <row r="666" spans="1:12" x14ac:dyDescent="0.2">
      <c r="A666" s="2">
        <v>10</v>
      </c>
      <c r="B666" s="2">
        <v>1024</v>
      </c>
      <c r="C666" s="2">
        <v>1024</v>
      </c>
      <c r="D666" s="2">
        <v>65</v>
      </c>
      <c r="E666" s="4" t="s">
        <v>12</v>
      </c>
      <c r="F666" s="4">
        <v>4.002958E-3</v>
      </c>
      <c r="G666" s="2">
        <v>14</v>
      </c>
      <c r="H666" s="1" t="s">
        <v>12</v>
      </c>
      <c r="I666" s="1" t="s">
        <v>12</v>
      </c>
      <c r="J666" s="3">
        <v>30.249577333000001</v>
      </c>
      <c r="K666" s="3">
        <v>1.3077625000000001E-2</v>
      </c>
      <c r="L666" s="3" t="s">
        <v>12</v>
      </c>
    </row>
    <row r="667" spans="1:12" x14ac:dyDescent="0.2">
      <c r="A667" s="2">
        <v>10</v>
      </c>
      <c r="B667" s="2">
        <v>1024</v>
      </c>
      <c r="C667" s="2">
        <v>1024</v>
      </c>
      <c r="D667" s="2">
        <v>66</v>
      </c>
      <c r="E667" s="4" t="s">
        <v>12</v>
      </c>
      <c r="F667" s="4">
        <v>3.5479999999999999E-3</v>
      </c>
      <c r="G667" s="2">
        <v>14</v>
      </c>
      <c r="H667" s="1" t="s">
        <v>12</v>
      </c>
      <c r="I667" s="1" t="s">
        <v>12</v>
      </c>
      <c r="J667" s="3">
        <v>30.249577333000001</v>
      </c>
      <c r="K667" s="3">
        <v>1.3077625000000001E-2</v>
      </c>
      <c r="L667" s="3" t="s">
        <v>12</v>
      </c>
    </row>
    <row r="668" spans="1:12" x14ac:dyDescent="0.2">
      <c r="A668" s="2">
        <v>10</v>
      </c>
      <c r="B668" s="2">
        <v>1024</v>
      </c>
      <c r="C668" s="2">
        <v>1024</v>
      </c>
      <c r="D668" s="2">
        <v>67</v>
      </c>
      <c r="E668" s="4" t="s">
        <v>12</v>
      </c>
      <c r="F668" s="4">
        <v>3.915333E-3</v>
      </c>
      <c r="G668" s="2">
        <v>14</v>
      </c>
      <c r="H668" s="1" t="s">
        <v>12</v>
      </c>
      <c r="I668" s="1" t="s">
        <v>12</v>
      </c>
      <c r="J668" s="3">
        <v>30.249577333000001</v>
      </c>
      <c r="K668" s="3">
        <v>1.3077625000000001E-2</v>
      </c>
      <c r="L668" s="3" t="s">
        <v>12</v>
      </c>
    </row>
    <row r="669" spans="1:12" x14ac:dyDescent="0.2">
      <c r="A669" s="2">
        <v>10</v>
      </c>
      <c r="B669" s="2">
        <v>1024</v>
      </c>
      <c r="C669" s="2">
        <v>1024</v>
      </c>
      <c r="D669" s="2">
        <v>68</v>
      </c>
      <c r="E669" s="4" t="s">
        <v>12</v>
      </c>
      <c r="F669" s="4">
        <v>4.3883339999999998E-3</v>
      </c>
      <c r="G669" s="2">
        <v>14</v>
      </c>
      <c r="H669" s="1" t="s">
        <v>12</v>
      </c>
      <c r="I669" s="1" t="s">
        <v>12</v>
      </c>
      <c r="J669" s="3">
        <v>30.249577333000001</v>
      </c>
      <c r="K669" s="3">
        <v>1.3077625000000001E-2</v>
      </c>
      <c r="L669" s="3" t="s">
        <v>12</v>
      </c>
    </row>
    <row r="670" spans="1:12" x14ac:dyDescent="0.2">
      <c r="A670" s="2">
        <v>10</v>
      </c>
      <c r="B670" s="2">
        <v>1024</v>
      </c>
      <c r="C670" s="2">
        <v>1024</v>
      </c>
      <c r="D670" s="2">
        <v>69</v>
      </c>
      <c r="E670" s="4" t="s">
        <v>12</v>
      </c>
      <c r="F670" s="4">
        <v>4.044209E-3</v>
      </c>
      <c r="G670" s="2">
        <v>14</v>
      </c>
      <c r="H670" s="1" t="s">
        <v>12</v>
      </c>
      <c r="I670" s="1" t="s">
        <v>12</v>
      </c>
      <c r="J670" s="3">
        <v>30.249577333000001</v>
      </c>
      <c r="K670" s="3">
        <v>1.3077625000000001E-2</v>
      </c>
      <c r="L670" s="3" t="s">
        <v>12</v>
      </c>
    </row>
    <row r="671" spans="1:12" x14ac:dyDescent="0.2">
      <c r="A671" s="2">
        <v>10</v>
      </c>
      <c r="B671" s="2">
        <v>1024</v>
      </c>
      <c r="C671" s="2">
        <v>1024</v>
      </c>
      <c r="D671" s="2">
        <v>70</v>
      </c>
      <c r="E671" s="4" t="s">
        <v>12</v>
      </c>
      <c r="F671" s="4">
        <v>3.0555791999999998E-2</v>
      </c>
      <c r="G671" s="2">
        <v>14</v>
      </c>
      <c r="H671" s="1" t="s">
        <v>12</v>
      </c>
      <c r="I671" s="1" t="s">
        <v>12</v>
      </c>
      <c r="J671" s="3">
        <v>30.249577333000001</v>
      </c>
      <c r="K671" s="3">
        <v>1.3077625000000001E-2</v>
      </c>
      <c r="L671" s="3" t="s">
        <v>12</v>
      </c>
    </row>
    <row r="672" spans="1:12" x14ac:dyDescent="0.2">
      <c r="A672" s="2">
        <v>10</v>
      </c>
      <c r="B672" s="2">
        <v>1024</v>
      </c>
      <c r="C672" s="2">
        <v>1024</v>
      </c>
      <c r="D672" s="2">
        <v>71</v>
      </c>
      <c r="E672" s="4" t="s">
        <v>12</v>
      </c>
      <c r="F672" s="4">
        <v>1.0903166000000001E-2</v>
      </c>
      <c r="G672" s="2">
        <v>14</v>
      </c>
      <c r="H672" s="1" t="s">
        <v>12</v>
      </c>
      <c r="I672" s="1" t="s">
        <v>12</v>
      </c>
      <c r="J672" s="3">
        <v>30.249577333000001</v>
      </c>
      <c r="K672" s="3">
        <v>1.3077625000000001E-2</v>
      </c>
      <c r="L672" s="3" t="s">
        <v>12</v>
      </c>
    </row>
    <row r="673" spans="1:12" x14ac:dyDescent="0.2">
      <c r="A673" s="2">
        <v>10</v>
      </c>
      <c r="B673" s="2">
        <v>1024</v>
      </c>
      <c r="C673" s="2">
        <v>1024</v>
      </c>
      <c r="D673" s="2">
        <v>72</v>
      </c>
      <c r="E673" s="4" t="s">
        <v>12</v>
      </c>
      <c r="F673" s="4">
        <v>3.761917E-3</v>
      </c>
      <c r="G673" s="2">
        <v>14</v>
      </c>
      <c r="H673" s="1" t="s">
        <v>12</v>
      </c>
      <c r="I673" s="1" t="s">
        <v>12</v>
      </c>
      <c r="J673" s="3">
        <v>30.249577333000001</v>
      </c>
      <c r="K673" s="3">
        <v>1.3077625000000001E-2</v>
      </c>
      <c r="L673" s="3" t="s">
        <v>12</v>
      </c>
    </row>
    <row r="674" spans="1:12" x14ac:dyDescent="0.2">
      <c r="A674" s="2">
        <v>10</v>
      </c>
      <c r="B674" s="2">
        <v>1024</v>
      </c>
      <c r="C674" s="2">
        <v>1024</v>
      </c>
      <c r="D674" s="2">
        <v>73</v>
      </c>
      <c r="E674" s="4" t="s">
        <v>12</v>
      </c>
      <c r="F674" s="4">
        <v>4.1517079999999996E-3</v>
      </c>
      <c r="G674" s="2">
        <v>14</v>
      </c>
      <c r="H674" s="1" t="s">
        <v>12</v>
      </c>
      <c r="I674" s="1" t="s">
        <v>12</v>
      </c>
      <c r="J674" s="3">
        <v>30.249577333000001</v>
      </c>
      <c r="K674" s="3">
        <v>1.3077625000000001E-2</v>
      </c>
      <c r="L674" s="3" t="s">
        <v>12</v>
      </c>
    </row>
    <row r="675" spans="1:12" x14ac:dyDescent="0.2">
      <c r="A675" s="2">
        <v>10</v>
      </c>
      <c r="B675" s="2">
        <v>1024</v>
      </c>
      <c r="C675" s="2">
        <v>1024</v>
      </c>
      <c r="D675" s="2">
        <v>74</v>
      </c>
      <c r="E675" s="4" t="s">
        <v>12</v>
      </c>
      <c r="F675" s="4">
        <v>3.7334579999999998E-3</v>
      </c>
      <c r="G675" s="2">
        <v>14</v>
      </c>
      <c r="H675" s="1" t="s">
        <v>12</v>
      </c>
      <c r="I675" s="1" t="s">
        <v>12</v>
      </c>
      <c r="J675" s="3">
        <v>30.249577333000001</v>
      </c>
      <c r="K675" s="3">
        <v>1.3077625000000001E-2</v>
      </c>
      <c r="L675" s="3" t="s">
        <v>12</v>
      </c>
    </row>
    <row r="676" spans="1:12" x14ac:dyDescent="0.2">
      <c r="A676" s="2">
        <v>10</v>
      </c>
      <c r="B676" s="2">
        <v>1024</v>
      </c>
      <c r="C676" s="2">
        <v>1024</v>
      </c>
      <c r="D676" s="2">
        <v>75</v>
      </c>
      <c r="E676" s="4" t="s">
        <v>12</v>
      </c>
      <c r="F676" s="4">
        <v>4.0940830000000001E-3</v>
      </c>
      <c r="G676" s="2">
        <v>14</v>
      </c>
      <c r="H676" s="1" t="s">
        <v>12</v>
      </c>
      <c r="I676" s="1" t="s">
        <v>12</v>
      </c>
      <c r="J676" s="3">
        <v>30.249577333000001</v>
      </c>
      <c r="K676" s="3">
        <v>1.3077625000000001E-2</v>
      </c>
      <c r="L676" s="3" t="s">
        <v>12</v>
      </c>
    </row>
    <row r="677" spans="1:12" x14ac:dyDescent="0.2">
      <c r="A677" s="2">
        <v>10</v>
      </c>
      <c r="B677" s="2">
        <v>1024</v>
      </c>
      <c r="C677" s="2">
        <v>1024</v>
      </c>
      <c r="D677" s="2">
        <v>76</v>
      </c>
      <c r="E677" s="4" t="s">
        <v>12</v>
      </c>
      <c r="F677" s="4">
        <v>7.8802079999999997E-3</v>
      </c>
      <c r="G677" s="2">
        <v>14</v>
      </c>
      <c r="H677" s="1" t="s">
        <v>12</v>
      </c>
      <c r="I677" s="1" t="s">
        <v>12</v>
      </c>
      <c r="J677" s="3">
        <v>30.249577333000001</v>
      </c>
      <c r="K677" s="3">
        <v>1.3077625000000001E-2</v>
      </c>
      <c r="L677" s="3" t="s">
        <v>12</v>
      </c>
    </row>
    <row r="678" spans="1:12" x14ac:dyDescent="0.2">
      <c r="A678" s="2">
        <v>10</v>
      </c>
      <c r="B678" s="2">
        <v>1024</v>
      </c>
      <c r="C678" s="2">
        <v>1024</v>
      </c>
      <c r="D678" s="2">
        <v>77</v>
      </c>
      <c r="E678" s="4" t="s">
        <v>12</v>
      </c>
      <c r="F678" s="4">
        <v>3.8599580000000001E-3</v>
      </c>
      <c r="G678" s="2">
        <v>14</v>
      </c>
      <c r="H678" s="1" t="s">
        <v>12</v>
      </c>
      <c r="I678" s="1" t="s">
        <v>12</v>
      </c>
      <c r="J678" s="3">
        <v>30.249577333000001</v>
      </c>
      <c r="K678" s="3">
        <v>1.3077625000000001E-2</v>
      </c>
      <c r="L678" s="3" t="s">
        <v>12</v>
      </c>
    </row>
    <row r="679" spans="1:12" x14ac:dyDescent="0.2">
      <c r="A679" s="2">
        <v>10</v>
      </c>
      <c r="B679" s="2">
        <v>1024</v>
      </c>
      <c r="C679" s="2">
        <v>1024</v>
      </c>
      <c r="D679" s="2">
        <v>78</v>
      </c>
      <c r="E679" s="4" t="s">
        <v>12</v>
      </c>
      <c r="F679" s="4">
        <v>4.3414589999999998E-3</v>
      </c>
      <c r="G679" s="2">
        <v>14</v>
      </c>
      <c r="H679" s="1" t="s">
        <v>12</v>
      </c>
      <c r="I679" s="1" t="s">
        <v>12</v>
      </c>
      <c r="J679" s="3">
        <v>30.249577333000001</v>
      </c>
      <c r="K679" s="3">
        <v>1.3077625000000001E-2</v>
      </c>
      <c r="L679" s="3" t="s">
        <v>12</v>
      </c>
    </row>
    <row r="680" spans="1:12" x14ac:dyDescent="0.2">
      <c r="A680" s="2">
        <v>10</v>
      </c>
      <c r="B680" s="2">
        <v>1024</v>
      </c>
      <c r="C680" s="2">
        <v>1024</v>
      </c>
      <c r="D680" s="2">
        <v>79</v>
      </c>
      <c r="E680" s="4" t="s">
        <v>12</v>
      </c>
      <c r="F680" s="4">
        <v>3.7278749999999999E-3</v>
      </c>
      <c r="G680" s="2">
        <v>14</v>
      </c>
      <c r="H680" s="1" t="s">
        <v>12</v>
      </c>
      <c r="I680" s="1" t="s">
        <v>12</v>
      </c>
      <c r="J680" s="3">
        <v>30.249577333000001</v>
      </c>
      <c r="K680" s="3">
        <v>1.3077625000000001E-2</v>
      </c>
      <c r="L680" s="3" t="s">
        <v>12</v>
      </c>
    </row>
    <row r="681" spans="1:12" x14ac:dyDescent="0.2">
      <c r="A681" s="2">
        <v>10</v>
      </c>
      <c r="B681" s="2">
        <v>1024</v>
      </c>
      <c r="C681" s="2">
        <v>1024</v>
      </c>
      <c r="D681" s="2">
        <v>80</v>
      </c>
      <c r="E681" s="4" t="s">
        <v>12</v>
      </c>
      <c r="F681" s="4">
        <v>3.9544159999999997E-3</v>
      </c>
      <c r="G681" s="2">
        <v>14</v>
      </c>
      <c r="H681" s="1" t="s">
        <v>12</v>
      </c>
      <c r="I681" s="1" t="s">
        <v>12</v>
      </c>
      <c r="J681" s="3">
        <v>30.249577333000001</v>
      </c>
      <c r="K681" s="3">
        <v>1.3077625000000001E-2</v>
      </c>
      <c r="L681" s="3" t="s">
        <v>12</v>
      </c>
    </row>
    <row r="682" spans="1:12" x14ac:dyDescent="0.2">
      <c r="A682" s="2">
        <v>10</v>
      </c>
      <c r="B682" s="2">
        <v>1024</v>
      </c>
      <c r="C682" s="2">
        <v>1024</v>
      </c>
      <c r="D682" s="2">
        <v>81</v>
      </c>
      <c r="E682" s="4" t="s">
        <v>12</v>
      </c>
      <c r="F682" s="4">
        <v>3.5943749999999999E-3</v>
      </c>
      <c r="G682" s="2">
        <v>14</v>
      </c>
      <c r="H682" s="1" t="s">
        <v>12</v>
      </c>
      <c r="I682" s="1" t="s">
        <v>12</v>
      </c>
      <c r="J682" s="3">
        <v>30.249577333000001</v>
      </c>
      <c r="K682" s="3">
        <v>1.3077625000000001E-2</v>
      </c>
      <c r="L682" s="3" t="s">
        <v>12</v>
      </c>
    </row>
    <row r="683" spans="1:12" x14ac:dyDescent="0.2">
      <c r="A683" s="2">
        <v>10</v>
      </c>
      <c r="B683" s="2">
        <v>1024</v>
      </c>
      <c r="C683" s="2">
        <v>1024</v>
      </c>
      <c r="D683" s="2">
        <v>82</v>
      </c>
      <c r="E683" s="4" t="s">
        <v>12</v>
      </c>
      <c r="F683" s="4">
        <v>3.821708E-3</v>
      </c>
      <c r="G683" s="2">
        <v>14</v>
      </c>
      <c r="H683" s="1" t="s">
        <v>12</v>
      </c>
      <c r="I683" s="1" t="s">
        <v>12</v>
      </c>
      <c r="J683" s="3">
        <v>30.249577333000001</v>
      </c>
      <c r="K683" s="3">
        <v>1.3077625000000001E-2</v>
      </c>
      <c r="L683" s="3" t="s">
        <v>12</v>
      </c>
    </row>
    <row r="684" spans="1:12" x14ac:dyDescent="0.2">
      <c r="A684" s="2">
        <v>10</v>
      </c>
      <c r="B684" s="2">
        <v>1024</v>
      </c>
      <c r="C684" s="2">
        <v>1024</v>
      </c>
      <c r="D684" s="2">
        <v>83</v>
      </c>
      <c r="E684" s="4" t="s">
        <v>12</v>
      </c>
      <c r="F684" s="4">
        <v>3.870708E-3</v>
      </c>
      <c r="G684" s="2">
        <v>14</v>
      </c>
      <c r="H684" s="1" t="s">
        <v>12</v>
      </c>
      <c r="I684" s="1" t="s">
        <v>12</v>
      </c>
      <c r="J684" s="3">
        <v>30.249577333000001</v>
      </c>
      <c r="K684" s="3">
        <v>1.3077625000000001E-2</v>
      </c>
      <c r="L684" s="3" t="s">
        <v>12</v>
      </c>
    </row>
    <row r="685" spans="1:12" x14ac:dyDescent="0.2">
      <c r="A685" s="2">
        <v>10</v>
      </c>
      <c r="B685" s="2">
        <v>1024</v>
      </c>
      <c r="C685" s="2">
        <v>1024</v>
      </c>
      <c r="D685" s="2">
        <v>84</v>
      </c>
      <c r="E685" s="4" t="s">
        <v>12</v>
      </c>
      <c r="F685" s="4">
        <v>3.8438330000000001E-3</v>
      </c>
      <c r="G685" s="2">
        <v>14</v>
      </c>
      <c r="H685" s="1" t="s">
        <v>12</v>
      </c>
      <c r="I685" s="1" t="s">
        <v>12</v>
      </c>
      <c r="J685" s="3">
        <v>30.249577333000001</v>
      </c>
      <c r="K685" s="3">
        <v>1.3077625000000001E-2</v>
      </c>
      <c r="L685" s="3" t="s">
        <v>12</v>
      </c>
    </row>
    <row r="686" spans="1:12" x14ac:dyDescent="0.2">
      <c r="A686" s="2">
        <v>10</v>
      </c>
      <c r="B686" s="2">
        <v>1024</v>
      </c>
      <c r="C686" s="2">
        <v>1024</v>
      </c>
      <c r="D686" s="2">
        <v>85</v>
      </c>
      <c r="E686" s="4" t="s">
        <v>12</v>
      </c>
      <c r="F686" s="4">
        <v>3.9484580000000002E-3</v>
      </c>
      <c r="G686" s="2">
        <v>14</v>
      </c>
      <c r="H686" s="1" t="s">
        <v>12</v>
      </c>
      <c r="I686" s="1" t="s">
        <v>12</v>
      </c>
      <c r="J686" s="3">
        <v>30.249577333000001</v>
      </c>
      <c r="K686" s="3">
        <v>1.3077625000000001E-2</v>
      </c>
      <c r="L686" s="3" t="s">
        <v>12</v>
      </c>
    </row>
    <row r="687" spans="1:12" x14ac:dyDescent="0.2">
      <c r="A687" s="2">
        <v>10</v>
      </c>
      <c r="B687" s="2">
        <v>1024</v>
      </c>
      <c r="C687" s="2">
        <v>1024</v>
      </c>
      <c r="D687" s="2">
        <v>86</v>
      </c>
      <c r="E687" s="4" t="s">
        <v>12</v>
      </c>
      <c r="F687" s="4">
        <v>3.4413339999999999E-3</v>
      </c>
      <c r="G687" s="2">
        <v>14</v>
      </c>
      <c r="H687" s="1" t="s">
        <v>12</v>
      </c>
      <c r="I687" s="1" t="s">
        <v>12</v>
      </c>
      <c r="J687" s="3">
        <v>30.249577333000001</v>
      </c>
      <c r="K687" s="3">
        <v>1.3077625000000001E-2</v>
      </c>
      <c r="L687" s="3" t="s">
        <v>12</v>
      </c>
    </row>
    <row r="688" spans="1:12" x14ac:dyDescent="0.2">
      <c r="A688" s="2">
        <v>10</v>
      </c>
      <c r="B688" s="2">
        <v>1024</v>
      </c>
      <c r="C688" s="2">
        <v>1024</v>
      </c>
      <c r="D688" s="2">
        <v>87</v>
      </c>
      <c r="E688" s="4" t="s">
        <v>12</v>
      </c>
      <c r="F688" s="4">
        <v>3.6632499999999998E-3</v>
      </c>
      <c r="G688" s="2">
        <v>14</v>
      </c>
      <c r="H688" s="1" t="s">
        <v>12</v>
      </c>
      <c r="I688" s="1" t="s">
        <v>12</v>
      </c>
      <c r="J688" s="3">
        <v>30.249577333000001</v>
      </c>
      <c r="K688" s="3">
        <v>1.3077625000000001E-2</v>
      </c>
      <c r="L688" s="3" t="s">
        <v>12</v>
      </c>
    </row>
    <row r="689" spans="1:12" x14ac:dyDescent="0.2">
      <c r="A689" s="2">
        <v>10</v>
      </c>
      <c r="B689" s="2">
        <v>1024</v>
      </c>
      <c r="C689" s="2">
        <v>1024</v>
      </c>
      <c r="D689" s="2">
        <v>88</v>
      </c>
      <c r="E689" s="4" t="s">
        <v>12</v>
      </c>
      <c r="F689" s="4">
        <v>3.933125E-3</v>
      </c>
      <c r="G689" s="2">
        <v>14</v>
      </c>
      <c r="H689" s="1" t="s">
        <v>12</v>
      </c>
      <c r="I689" s="1" t="s">
        <v>12</v>
      </c>
      <c r="J689" s="3">
        <v>30.249577333000001</v>
      </c>
      <c r="K689" s="3">
        <v>1.3077625000000001E-2</v>
      </c>
      <c r="L689" s="3" t="s">
        <v>12</v>
      </c>
    </row>
    <row r="690" spans="1:12" x14ac:dyDescent="0.2">
      <c r="A690" s="2">
        <v>10</v>
      </c>
      <c r="B690" s="2">
        <v>1024</v>
      </c>
      <c r="C690" s="2">
        <v>1024</v>
      </c>
      <c r="D690" s="2">
        <v>89</v>
      </c>
      <c r="E690" s="4" t="s">
        <v>12</v>
      </c>
      <c r="F690" s="4">
        <v>3.66775E-3</v>
      </c>
      <c r="G690" s="2">
        <v>14</v>
      </c>
      <c r="H690" s="1" t="s">
        <v>12</v>
      </c>
      <c r="I690" s="1" t="s">
        <v>12</v>
      </c>
      <c r="J690" s="3">
        <v>30.249577333000001</v>
      </c>
      <c r="K690" s="3">
        <v>1.3077625000000001E-2</v>
      </c>
      <c r="L690" s="3" t="s">
        <v>12</v>
      </c>
    </row>
    <row r="691" spans="1:12" x14ac:dyDescent="0.2">
      <c r="A691" s="2">
        <v>10</v>
      </c>
      <c r="B691" s="2">
        <v>1024</v>
      </c>
      <c r="C691" s="2">
        <v>1024</v>
      </c>
      <c r="D691" s="2">
        <v>90</v>
      </c>
      <c r="E691" s="4" t="s">
        <v>12</v>
      </c>
      <c r="F691" s="4">
        <v>3.8529160000000001E-3</v>
      </c>
      <c r="G691" s="2">
        <v>14</v>
      </c>
      <c r="H691" s="1" t="s">
        <v>12</v>
      </c>
      <c r="I691" s="1" t="s">
        <v>12</v>
      </c>
      <c r="J691" s="3">
        <v>30.249577333000001</v>
      </c>
      <c r="K691" s="3">
        <v>1.3077625000000001E-2</v>
      </c>
      <c r="L691" s="3" t="s">
        <v>12</v>
      </c>
    </row>
    <row r="692" spans="1:12" x14ac:dyDescent="0.2">
      <c r="A692" s="2">
        <v>10</v>
      </c>
      <c r="B692" s="2">
        <v>1024</v>
      </c>
      <c r="C692" s="2">
        <v>1024</v>
      </c>
      <c r="D692" s="2">
        <v>91</v>
      </c>
      <c r="E692" s="4" t="s">
        <v>12</v>
      </c>
      <c r="F692" s="4">
        <v>3.7544169999999999E-3</v>
      </c>
      <c r="G692" s="2">
        <v>14</v>
      </c>
      <c r="H692" s="1" t="s">
        <v>12</v>
      </c>
      <c r="I692" s="1" t="s">
        <v>12</v>
      </c>
      <c r="J692" s="3">
        <v>30.249577333000001</v>
      </c>
      <c r="K692" s="3">
        <v>1.3077625000000001E-2</v>
      </c>
      <c r="L692" s="3" t="s">
        <v>12</v>
      </c>
    </row>
    <row r="693" spans="1:12" x14ac:dyDescent="0.2">
      <c r="A693" s="2">
        <v>10</v>
      </c>
      <c r="B693" s="2">
        <v>1024</v>
      </c>
      <c r="C693" s="2">
        <v>1024</v>
      </c>
      <c r="D693" s="2">
        <v>92</v>
      </c>
      <c r="E693" s="4" t="s">
        <v>12</v>
      </c>
      <c r="F693" s="4">
        <v>8.0439169999999994E-3</v>
      </c>
      <c r="G693" s="2">
        <v>14</v>
      </c>
      <c r="H693" s="1" t="s">
        <v>12</v>
      </c>
      <c r="I693" s="1" t="s">
        <v>12</v>
      </c>
      <c r="J693" s="3">
        <v>30.249577333000001</v>
      </c>
      <c r="K693" s="3">
        <v>1.3077625000000001E-2</v>
      </c>
      <c r="L693" s="3" t="s">
        <v>12</v>
      </c>
    </row>
    <row r="694" spans="1:12" x14ac:dyDescent="0.2">
      <c r="A694" s="2">
        <v>10</v>
      </c>
      <c r="B694" s="2">
        <v>1024</v>
      </c>
      <c r="C694" s="2">
        <v>1024</v>
      </c>
      <c r="D694" s="2">
        <v>93</v>
      </c>
      <c r="E694" s="4" t="s">
        <v>12</v>
      </c>
      <c r="F694" s="4">
        <v>3.7864579999999999E-3</v>
      </c>
      <c r="G694" s="2">
        <v>14</v>
      </c>
      <c r="H694" s="1" t="s">
        <v>12</v>
      </c>
      <c r="I694" s="1" t="s">
        <v>12</v>
      </c>
      <c r="J694" s="3">
        <v>30.249577333000001</v>
      </c>
      <c r="K694" s="3">
        <v>1.3077625000000001E-2</v>
      </c>
      <c r="L694" s="3" t="s">
        <v>12</v>
      </c>
    </row>
    <row r="695" spans="1:12" x14ac:dyDescent="0.2">
      <c r="A695" s="2">
        <v>10</v>
      </c>
      <c r="B695" s="2">
        <v>1024</v>
      </c>
      <c r="C695" s="2">
        <v>1024</v>
      </c>
      <c r="D695" s="2">
        <v>94</v>
      </c>
      <c r="E695" s="4" t="s">
        <v>12</v>
      </c>
      <c r="F695" s="4">
        <v>3.946125E-3</v>
      </c>
      <c r="G695" s="2">
        <v>14</v>
      </c>
      <c r="H695" s="1" t="s">
        <v>12</v>
      </c>
      <c r="I695" s="1" t="s">
        <v>12</v>
      </c>
      <c r="J695" s="3">
        <v>30.249577333000001</v>
      </c>
      <c r="K695" s="3">
        <v>1.3077625000000001E-2</v>
      </c>
      <c r="L695" s="3" t="s">
        <v>12</v>
      </c>
    </row>
    <row r="696" spans="1:12" x14ac:dyDescent="0.2">
      <c r="A696" s="2">
        <v>10</v>
      </c>
      <c r="B696" s="2">
        <v>1024</v>
      </c>
      <c r="C696" s="2">
        <v>1024</v>
      </c>
      <c r="D696" s="2">
        <v>95</v>
      </c>
      <c r="E696" s="4" t="s">
        <v>12</v>
      </c>
      <c r="F696" s="4">
        <v>3.7842499999999999E-3</v>
      </c>
      <c r="G696" s="2">
        <v>14</v>
      </c>
      <c r="H696" s="1" t="s">
        <v>12</v>
      </c>
      <c r="I696" s="1" t="s">
        <v>12</v>
      </c>
      <c r="J696" s="3">
        <v>30.249577333000001</v>
      </c>
      <c r="K696" s="3">
        <v>1.3077625000000001E-2</v>
      </c>
      <c r="L696" s="3" t="s">
        <v>12</v>
      </c>
    </row>
    <row r="697" spans="1:12" x14ac:dyDescent="0.2">
      <c r="A697" s="2">
        <v>10</v>
      </c>
      <c r="B697" s="2">
        <v>1024</v>
      </c>
      <c r="C697" s="2">
        <v>1024</v>
      </c>
      <c r="D697" s="2">
        <v>96</v>
      </c>
      <c r="E697" s="4" t="s">
        <v>12</v>
      </c>
      <c r="F697" s="4">
        <v>3.8072919999999999E-3</v>
      </c>
      <c r="G697" s="2">
        <v>14</v>
      </c>
      <c r="H697" s="1" t="s">
        <v>12</v>
      </c>
      <c r="I697" s="1" t="s">
        <v>12</v>
      </c>
      <c r="J697" s="3">
        <v>30.249577333000001</v>
      </c>
      <c r="K697" s="3">
        <v>1.3077625000000001E-2</v>
      </c>
      <c r="L697" s="3" t="s">
        <v>12</v>
      </c>
    </row>
    <row r="698" spans="1:12" x14ac:dyDescent="0.2">
      <c r="A698" s="2">
        <v>10</v>
      </c>
      <c r="B698" s="2">
        <v>1024</v>
      </c>
      <c r="C698" s="2">
        <v>1024</v>
      </c>
      <c r="D698" s="2">
        <v>97</v>
      </c>
      <c r="E698" s="4" t="s">
        <v>12</v>
      </c>
      <c r="F698" s="4">
        <v>3.7217079999999998E-3</v>
      </c>
      <c r="G698" s="2">
        <v>14</v>
      </c>
      <c r="H698" s="1" t="s">
        <v>12</v>
      </c>
      <c r="I698" s="1" t="s">
        <v>12</v>
      </c>
      <c r="J698" s="3">
        <v>30.249577333000001</v>
      </c>
      <c r="K698" s="3">
        <v>1.3077625000000001E-2</v>
      </c>
      <c r="L698" s="3" t="s">
        <v>12</v>
      </c>
    </row>
    <row r="699" spans="1:12" x14ac:dyDescent="0.2">
      <c r="A699" s="2">
        <v>10</v>
      </c>
      <c r="B699" s="2">
        <v>1024</v>
      </c>
      <c r="C699" s="2">
        <v>1024</v>
      </c>
      <c r="D699" s="2">
        <v>98</v>
      </c>
      <c r="E699" s="4" t="s">
        <v>12</v>
      </c>
      <c r="F699" s="4">
        <v>4.6870000000000002E-3</v>
      </c>
      <c r="G699" s="2">
        <v>14</v>
      </c>
      <c r="H699" s="1" t="s">
        <v>12</v>
      </c>
      <c r="I699" s="1" t="s">
        <v>12</v>
      </c>
      <c r="J699" s="3">
        <v>30.249577333000001</v>
      </c>
      <c r="K699" s="3">
        <v>1.3077625000000001E-2</v>
      </c>
      <c r="L699" s="3" t="s">
        <v>12</v>
      </c>
    </row>
    <row r="700" spans="1:12" x14ac:dyDescent="0.2">
      <c r="A700" s="2">
        <v>10</v>
      </c>
      <c r="B700" s="2">
        <v>1024</v>
      </c>
      <c r="C700" s="2">
        <v>1024</v>
      </c>
      <c r="D700" s="2">
        <v>99</v>
      </c>
      <c r="E700" s="4" t="s">
        <v>12</v>
      </c>
      <c r="F700" s="4">
        <v>3.4636670000000001E-3</v>
      </c>
      <c r="G700" s="2">
        <v>14</v>
      </c>
      <c r="H700" s="1" t="s">
        <v>12</v>
      </c>
      <c r="I700" s="1" t="s">
        <v>12</v>
      </c>
      <c r="J700" s="3">
        <v>30.249577333000001</v>
      </c>
      <c r="K700" s="3">
        <v>1.3077625000000001E-2</v>
      </c>
      <c r="L700" s="3" t="s">
        <v>12</v>
      </c>
    </row>
    <row r="701" spans="1:12" x14ac:dyDescent="0.2">
      <c r="A701" s="2">
        <v>10</v>
      </c>
      <c r="B701" s="2">
        <v>1024</v>
      </c>
      <c r="C701" s="2">
        <v>1024</v>
      </c>
      <c r="D701" s="2">
        <v>100</v>
      </c>
      <c r="E701" s="4" t="s">
        <v>12</v>
      </c>
      <c r="F701" s="4">
        <v>3.7824170000000002E-3</v>
      </c>
      <c r="G701" s="2">
        <v>14</v>
      </c>
      <c r="H701" s="1" t="s">
        <v>12</v>
      </c>
      <c r="I701" s="1" t="s">
        <v>12</v>
      </c>
      <c r="J701" s="3">
        <v>30.249577333000001</v>
      </c>
      <c r="K701" s="3">
        <v>1.3077625000000001E-2</v>
      </c>
      <c r="L701" s="3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B4B6-6ACD-DE45-8019-8219A9215A67}">
  <dimension ref="A1:F8"/>
  <sheetViews>
    <sheetView workbookViewId="0">
      <selection activeCell="I5" sqref="I5"/>
    </sheetView>
  </sheetViews>
  <sheetFormatPr baseColWidth="10" defaultRowHeight="16" x14ac:dyDescent="0.2"/>
  <cols>
    <col min="1" max="1" width="4.6640625" bestFit="1" customWidth="1"/>
    <col min="2" max="2" width="17.1640625" style="4" bestFit="1" customWidth="1"/>
    <col min="3" max="3" width="20.33203125" style="4" bestFit="1" customWidth="1"/>
    <col min="4" max="4" width="8.6640625" bestFit="1" customWidth="1"/>
    <col min="5" max="5" width="13" bestFit="1" customWidth="1"/>
    <col min="6" max="6" width="16.6640625" bestFit="1" customWidth="1"/>
    <col min="7" max="101" width="8.6640625" bestFit="1" customWidth="1"/>
    <col min="102" max="102" width="18.33203125" bestFit="1" customWidth="1"/>
    <col min="103" max="110" width="2.1640625" bestFit="1" customWidth="1"/>
    <col min="111" max="200" width="3.1640625" bestFit="1" customWidth="1"/>
    <col min="201" max="201" width="4.1640625" bestFit="1" customWidth="1"/>
    <col min="202" max="202" width="18" bestFit="1" customWidth="1"/>
    <col min="203" max="203" width="22.83203125" bestFit="1" customWidth="1"/>
  </cols>
  <sheetData>
    <row r="1" spans="1:6" x14ac:dyDescent="0.2">
      <c r="A1" s="5" t="s">
        <v>0</v>
      </c>
      <c r="B1" s="4" t="s">
        <v>16</v>
      </c>
      <c r="C1" s="4" t="s">
        <v>15</v>
      </c>
      <c r="E1" s="5" t="s">
        <v>13</v>
      </c>
      <c r="F1" t="s">
        <v>14</v>
      </c>
    </row>
    <row r="2" spans="1:6" x14ac:dyDescent="0.2">
      <c r="A2" s="6">
        <v>4</v>
      </c>
      <c r="B2" s="4">
        <v>1.2331837899999996E-3</v>
      </c>
      <c r="C2" s="4">
        <v>1.464926000000001E-5</v>
      </c>
      <c r="E2" s="6">
        <v>4</v>
      </c>
      <c r="F2" s="4">
        <v>1.2331837899999996E-3</v>
      </c>
    </row>
    <row r="3" spans="1:6" x14ac:dyDescent="0.2">
      <c r="A3" s="6">
        <v>5</v>
      </c>
      <c r="B3" s="4">
        <v>1.5246316399999996E-3</v>
      </c>
      <c r="C3" s="4">
        <v>3.2458162999999992E-4</v>
      </c>
      <c r="E3" s="6">
        <v>5</v>
      </c>
      <c r="F3" s="4">
        <v>1.5246316399999996E-3</v>
      </c>
    </row>
    <row r="4" spans="1:6" x14ac:dyDescent="0.2">
      <c r="A4" s="6">
        <v>6</v>
      </c>
      <c r="B4" s="4">
        <v>2.2538245699999992E-3</v>
      </c>
      <c r="C4" s="4">
        <v>2.4694895900000003E-3</v>
      </c>
      <c r="E4" s="6">
        <v>6</v>
      </c>
      <c r="F4" s="4">
        <v>2.2538245699999992E-3</v>
      </c>
    </row>
    <row r="5" spans="1:6" x14ac:dyDescent="0.2">
      <c r="A5" s="6">
        <v>7</v>
      </c>
      <c r="B5" s="4">
        <v>4.9746229300000003E-3</v>
      </c>
      <c r="C5" s="4">
        <v>4.1756419970000014E-2</v>
      </c>
      <c r="E5" s="6">
        <v>7</v>
      </c>
      <c r="F5" s="4">
        <v>4.9746229300000003E-3</v>
      </c>
    </row>
    <row r="6" spans="1:6" x14ac:dyDescent="0.2">
      <c r="B6"/>
      <c r="C6"/>
      <c r="E6" s="6">
        <v>8</v>
      </c>
      <c r="F6" s="4">
        <v>3.1533370699999997E-3</v>
      </c>
    </row>
    <row r="7" spans="1:6" x14ac:dyDescent="0.2">
      <c r="B7"/>
      <c r="C7"/>
      <c r="E7" s="6">
        <v>9</v>
      </c>
      <c r="F7" s="4">
        <v>3.6801396399999985E-3</v>
      </c>
    </row>
    <row r="8" spans="1:6" x14ac:dyDescent="0.2">
      <c r="B8"/>
      <c r="C8"/>
      <c r="E8" s="6">
        <v>10</v>
      </c>
      <c r="F8" s="4">
        <v>4.9250058799999996E-3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8924-8E9B-2145-8A76-127EAF73A239}">
  <dimension ref="A1:E11"/>
  <sheetViews>
    <sheetView workbookViewId="0">
      <selection activeCell="E8" sqref="E8"/>
    </sheetView>
  </sheetViews>
  <sheetFormatPr baseColWidth="10" defaultRowHeight="16" x14ac:dyDescent="0.2"/>
  <cols>
    <col min="1" max="1" width="4.6640625" style="2" bestFit="1" customWidth="1"/>
    <col min="2" max="2" width="6.5" style="2" bestFit="1" customWidth="1"/>
    <col min="3" max="3" width="18" style="3" bestFit="1" customWidth="1"/>
    <col min="4" max="4" width="19.33203125" style="3" customWidth="1"/>
    <col min="5" max="5" width="17.33203125" style="3" bestFit="1" customWidth="1"/>
    <col min="6" max="6" width="23.6640625" bestFit="1" customWidth="1"/>
    <col min="7" max="7" width="4.6640625" bestFit="1" customWidth="1"/>
    <col min="8" max="8" width="6.5" bestFit="1" customWidth="1"/>
    <col min="9" max="9" width="18" bestFit="1" customWidth="1"/>
    <col min="10" max="10" width="18.33203125" bestFit="1" customWidth="1"/>
    <col min="11" max="11" width="17.33203125" bestFit="1" customWidth="1"/>
  </cols>
  <sheetData>
    <row r="1" spans="1:5" x14ac:dyDescent="0.2">
      <c r="A1" s="8" t="s">
        <v>0</v>
      </c>
      <c r="B1" s="2" t="s">
        <v>17</v>
      </c>
      <c r="C1" s="3" t="s">
        <v>18</v>
      </c>
      <c r="D1" s="3" t="s">
        <v>20</v>
      </c>
      <c r="E1" s="3" t="s">
        <v>19</v>
      </c>
    </row>
    <row r="2" spans="1:5" x14ac:dyDescent="0.2">
      <c r="A2" s="6">
        <v>4</v>
      </c>
      <c r="B2" s="2">
        <v>16</v>
      </c>
      <c r="C2" s="3">
        <v>2.4502920000000002E-3</v>
      </c>
      <c r="D2" s="3">
        <v>5.8124580000000004E-3</v>
      </c>
      <c r="E2" s="3">
        <v>10.869475917000001</v>
      </c>
    </row>
    <row r="3" spans="1:5" x14ac:dyDescent="0.2">
      <c r="A3" s="6">
        <v>5</v>
      </c>
      <c r="B3" s="2">
        <v>32</v>
      </c>
      <c r="C3" s="3">
        <v>4.8724297920000001</v>
      </c>
      <c r="D3" s="3">
        <v>7.1964589999999997E-3</v>
      </c>
      <c r="E3" s="3">
        <v>9.0990829160000004</v>
      </c>
    </row>
    <row r="4" spans="1:5" x14ac:dyDescent="0.2">
      <c r="A4" s="6">
        <v>6</v>
      </c>
      <c r="B4" s="2">
        <v>64</v>
      </c>
      <c r="C4" s="3">
        <v>5.2271198329999997</v>
      </c>
      <c r="D4" s="3">
        <v>2.5712875E-2</v>
      </c>
      <c r="E4" s="3">
        <v>11.674028709</v>
      </c>
    </row>
    <row r="5" spans="1:5" x14ac:dyDescent="0.2">
      <c r="A5" s="6">
        <v>7</v>
      </c>
      <c r="B5" s="2">
        <v>128</v>
      </c>
      <c r="C5" s="3">
        <v>5.9458342499999999</v>
      </c>
      <c r="D5" s="3">
        <v>9.2080840000000001E-3</v>
      </c>
      <c r="E5" s="3">
        <v>22.453392874999999</v>
      </c>
    </row>
    <row r="6" spans="1:5" x14ac:dyDescent="0.2">
      <c r="A6"/>
      <c r="B6"/>
      <c r="C6"/>
      <c r="D6"/>
      <c r="E6"/>
    </row>
    <row r="7" spans="1:5" x14ac:dyDescent="0.2">
      <c r="A7"/>
      <c r="B7" t="s">
        <v>0</v>
      </c>
      <c r="C7" t="s">
        <v>22</v>
      </c>
      <c r="D7" t="s">
        <v>21</v>
      </c>
      <c r="E7"/>
    </row>
    <row r="8" spans="1:5" x14ac:dyDescent="0.2">
      <c r="A8"/>
      <c r="B8" s="7">
        <v>4</v>
      </c>
      <c r="C8">
        <f>GETPIVOTDATA("Time to build MPS / s",$A$1,"n",4) + GETPIVOTDATA("Time to build MPO / s",$A$1,"n",4)</f>
        <v>8.262750000000001E-3</v>
      </c>
      <c r="D8">
        <f>GETPIVOTDATA("Time build dense / s",$A$1,"n",4)</f>
        <v>10.869475917000001</v>
      </c>
      <c r="E8"/>
    </row>
    <row r="9" spans="1:5" x14ac:dyDescent="0.2">
      <c r="B9" s="7">
        <v>5</v>
      </c>
      <c r="C9" s="3">
        <f>SUM(GETPIVOTDATA("Time to build MPS / s",$A$1,"n",5)+GETPIVOTDATA("Time to build MPO / s",$A$1,"n",5))</f>
        <v>4.8796262510000004</v>
      </c>
      <c r="D9" s="3">
        <f>GETPIVOTDATA("Time build dense / s",$A$1,"n",5)</f>
        <v>9.0990829160000004</v>
      </c>
    </row>
    <row r="10" spans="1:5" x14ac:dyDescent="0.2">
      <c r="B10" s="7">
        <v>6</v>
      </c>
      <c r="C10" s="3">
        <f>SUM(GETPIVOTDATA("Time to build MPS / s",$A$1,"n",6)+GETPIVOTDATA("Time to build MPO / s",$A$1,"n",6))</f>
        <v>5.2528327079999997</v>
      </c>
      <c r="D10" s="3">
        <f>GETPIVOTDATA("Time build dense / s",$A$1,"n",6)</f>
        <v>11.674028709</v>
      </c>
    </row>
    <row r="11" spans="1:5" x14ac:dyDescent="0.2">
      <c r="B11" s="7">
        <v>7</v>
      </c>
      <c r="C11" s="3">
        <f>SUM(GETPIVOTDATA("Time to build MPS / s",$A$1,"n",7)+GETPIVOTDATA("Time to build MPO / s",$A$1,"n",7))</f>
        <v>5.9550423339999998</v>
      </c>
      <c r="D11" s="3">
        <f>GETPIVOTDATA("Time build dense / s",$A$1,"n",7)</f>
        <v>22.453392874999999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avg time per step vs n</vt:lpstr>
      <vt:lpstr>setup time vs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Jayaraj</cp:lastModifiedBy>
  <dcterms:created xsi:type="dcterms:W3CDTF">2026-04-09T13:08:59Z</dcterms:created>
  <dcterms:modified xsi:type="dcterms:W3CDTF">2026-04-09T15:13:56Z</dcterms:modified>
</cp:coreProperties>
</file>